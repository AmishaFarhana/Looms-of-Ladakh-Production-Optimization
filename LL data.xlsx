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5794\Desktop\Rajan Files\E\Courses\BAN 630\"/>
    </mc:Choice>
  </mc:AlternateContent>
  <xr:revisionPtr revIDLastSave="0" documentId="13_ncr:1_{6D6B169C-B36D-4FD4-B4B4-474B05B1CC7B}" xr6:coauthVersionLast="47" xr6:coauthVersionMax="47" xr10:uidLastSave="{00000000-0000-0000-0000-000000000000}"/>
  <bookViews>
    <workbookView xWindow="-110" yWindow="-110" windowWidth="19420" windowHeight="11500" tabRatio="664" xr2:uid="{07AAA2DC-AF02-4F61-BF7A-6AE2F16FEFBC}"/>
  </bookViews>
  <sheets>
    <sheet name="Data Sheet" sheetId="41" r:id="rId1"/>
    <sheet name="SKU info" sheetId="18" state="hidden" r:id="rId2"/>
    <sheet name="Model try" sheetId="16" state="hidden" r:id="rId3"/>
  </sheets>
  <definedNames>
    <definedName name="solver_adj" localSheetId="2" hidden="1">'Model try'!$J$15:$L$18,'Model try'!$J$23:$M$25,'Model try'!$J$30:$M$33,'Model try'!$R$15:$T$18,'Model try'!$R$23:$U$25,'Model try'!$R$30:$U$33,'Model try'!$R$38:$R$41,'Model try'!$R$44:$R$46</definedName>
    <definedName name="solver_cvg" localSheetId="0" hidden="1">0.0001</definedName>
    <definedName name="solver_cvg" localSheetId="2" hidden="1">0.0001</definedName>
    <definedName name="solver_drv" localSheetId="0" hidden="1">1</definedName>
    <definedName name="solver_drv" localSheetId="2" hidden="1">1</definedName>
    <definedName name="solver_eng" localSheetId="0" hidden="1">2</definedName>
    <definedName name="solver_eng" localSheetId="2" hidden="1">2</definedName>
    <definedName name="solver_est" localSheetId="2" hidden="1">1</definedName>
    <definedName name="solver_itr" localSheetId="0" hidden="1">2147483647</definedName>
    <definedName name="solver_itr" localSheetId="2" hidden="1">2147483647</definedName>
    <definedName name="solver_lhs1" localSheetId="0" hidden="1">'Data Sheet'!#REF!</definedName>
    <definedName name="solver_lhs1" localSheetId="2" hidden="1">'Model try'!$J$41:$J$43</definedName>
    <definedName name="solver_lhs10" localSheetId="2" hidden="1">'Model try'!$R$30:$U$33</definedName>
    <definedName name="solver_lhs11" localSheetId="2" hidden="1">'Model try'!$R$38:$R$41</definedName>
    <definedName name="solver_lhs12" localSheetId="2" hidden="1">'Model try'!$R$44:$R$46</definedName>
    <definedName name="solver_lhs13" localSheetId="2" hidden="1">'Model try'!$R$44:$R$46</definedName>
    <definedName name="solver_lhs14" localSheetId="2" hidden="1">'Model try'!$R$44:$R$46</definedName>
    <definedName name="solver_lhs2" localSheetId="0" hidden="1">'Data Sheet'!#REF!</definedName>
    <definedName name="solver_lhs2" localSheetId="2" hidden="1">'Model try'!$J$58:$J$60</definedName>
    <definedName name="solver_lhs3" localSheetId="0" hidden="1">'Data Sheet'!#REF!</definedName>
    <definedName name="solver_lhs3" localSheetId="2" hidden="1">'Model try'!$J$66:$J$69</definedName>
    <definedName name="solver_lhs4" localSheetId="0" hidden="1">'Data Sheet'!#REF!</definedName>
    <definedName name="solver_lhs4" localSheetId="2" hidden="1">'Model try'!$J$77:$L$80</definedName>
    <definedName name="solver_lhs5" localSheetId="2" hidden="1">'Model try'!$J$86:$M$88</definedName>
    <definedName name="solver_lhs6" localSheetId="2" hidden="1">'Model try'!$J$94:$M$97</definedName>
    <definedName name="solver_lhs7" localSheetId="2" hidden="1">'Model try'!$L$49:$L$52</definedName>
    <definedName name="solver_lhs8" localSheetId="2" hidden="1">'Model try'!$R$15:$T$18</definedName>
    <definedName name="solver_lhs9" localSheetId="2" hidden="1">'Model try'!$R$23:$U$25</definedName>
    <definedName name="solver_lin" localSheetId="0" hidden="1">1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0" hidden="1">2147483647</definedName>
    <definedName name="solver_nod" localSheetId="2" hidden="1">2147483647</definedName>
    <definedName name="solver_num" localSheetId="0" hidden="1">0</definedName>
    <definedName name="solver_num" localSheetId="2" hidden="1">12</definedName>
    <definedName name="solver_nwt" localSheetId="2" hidden="1">1</definedName>
    <definedName name="solver_opt" localSheetId="2" hidden="1">'Model try'!$N$3</definedName>
    <definedName name="solver_pre" localSheetId="0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1</definedName>
    <definedName name="solver_rel1" localSheetId="2" hidden="1">2</definedName>
    <definedName name="solver_rel10" localSheetId="2" hidden="1">5</definedName>
    <definedName name="solver_rel11" localSheetId="2" hidden="1">5</definedName>
    <definedName name="solver_rel12" localSheetId="2" hidden="1">5</definedName>
    <definedName name="solver_rel13" localSheetId="2" hidden="1">5</definedName>
    <definedName name="solver_rel14" localSheetId="2" hidden="1">5</definedName>
    <definedName name="solver_rel2" localSheetId="0" hidden="1">1</definedName>
    <definedName name="solver_rel2" localSheetId="2" hidden="1">1</definedName>
    <definedName name="solver_rel3" localSheetId="0" hidden="1">3</definedName>
    <definedName name="solver_rel3" localSheetId="2" hidden="1">1</definedName>
    <definedName name="solver_rel4" localSheetId="0" hidden="1">1</definedName>
    <definedName name="solver_rel4" localSheetId="2" hidden="1">3</definedName>
    <definedName name="solver_rel5" localSheetId="2" hidden="1">3</definedName>
    <definedName name="solver_rel6" localSheetId="2" hidden="1">3</definedName>
    <definedName name="solver_rel7" localSheetId="2" hidden="1">3</definedName>
    <definedName name="solver_rel8" localSheetId="2" hidden="1">5</definedName>
    <definedName name="solver_rel9" localSheetId="2" hidden="1">5</definedName>
    <definedName name="solver_rhs1" localSheetId="0" hidden="1">'Data Sheet'!#REF!</definedName>
    <definedName name="solver_rhs1" localSheetId="2" hidden="1">'Model try'!$L$41:$L$43</definedName>
    <definedName name="solver_rhs10" localSheetId="2" hidden="1">binary</definedName>
    <definedName name="solver_rhs11" localSheetId="2" hidden="1">binary</definedName>
    <definedName name="solver_rhs12" localSheetId="2" hidden="1">binary</definedName>
    <definedName name="solver_rhs13" localSheetId="2" hidden="1">binary</definedName>
    <definedName name="solver_rhs14" localSheetId="2" hidden="1">binary</definedName>
    <definedName name="solver_rhs2" localSheetId="0" hidden="1">'Data Sheet'!#REF!</definedName>
    <definedName name="solver_rhs2" localSheetId="2" hidden="1">'Model try'!$L$58:$L$60</definedName>
    <definedName name="solver_rhs3" localSheetId="0" hidden="1">'Data Sheet'!$D$57:$D$63</definedName>
    <definedName name="solver_rhs3" localSheetId="2" hidden="1">'Model try'!$L$66:$L$69</definedName>
    <definedName name="solver_rhs4" localSheetId="0" hidden="1">'Data Sheet'!#REF!</definedName>
    <definedName name="solver_rhs4" localSheetId="2" hidden="1">0</definedName>
    <definedName name="solver_rhs5" localSheetId="2" hidden="1">0</definedName>
    <definedName name="solver_rhs6" localSheetId="2" hidden="1">0</definedName>
    <definedName name="solver_rhs7" localSheetId="2" hidden="1">'Model try'!$N$49:$N$52</definedName>
    <definedName name="solver_rhs8" localSheetId="2" hidden="1">binary</definedName>
    <definedName name="solver_rhs9" localSheetId="2" hidden="1">binary</definedName>
    <definedName name="solver_rlx" localSheetId="0" hidden="1">2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1</definedName>
    <definedName name="solver_scl" localSheetId="2" hidden="1">1</definedName>
    <definedName name="solver_sho" localSheetId="0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2147483647</definedName>
    <definedName name="solver_tim" localSheetId="2" hidden="1">2147483647</definedName>
    <definedName name="solver_tol" localSheetId="0" hidden="1">0.01</definedName>
    <definedName name="solver_tol" localSheetId="2" hidden="1">0.01</definedName>
    <definedName name="solver_typ" localSheetId="0" hidden="1">1</definedName>
    <definedName name="solver_typ" localSheetId="2" hidden="1">2</definedName>
    <definedName name="solver_val" localSheetId="0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97" i="16" l="1"/>
  <c r="L97" i="16"/>
  <c r="K97" i="16"/>
  <c r="J97" i="16"/>
  <c r="M96" i="16"/>
  <c r="L96" i="16"/>
  <c r="K96" i="16"/>
  <c r="J96" i="16"/>
  <c r="M95" i="16"/>
  <c r="L95" i="16"/>
  <c r="K95" i="16"/>
  <c r="J95" i="16"/>
  <c r="M94" i="16"/>
  <c r="L94" i="16"/>
  <c r="K94" i="16"/>
  <c r="J94" i="16"/>
  <c r="M88" i="16"/>
  <c r="L88" i="16"/>
  <c r="K88" i="16"/>
  <c r="J88" i="16"/>
  <c r="M87" i="16"/>
  <c r="L87" i="16"/>
  <c r="K87" i="16"/>
  <c r="J87" i="16"/>
  <c r="M86" i="16"/>
  <c r="L86" i="16"/>
  <c r="K86" i="16"/>
  <c r="J86" i="16"/>
  <c r="L80" i="16"/>
  <c r="K80" i="16"/>
  <c r="J80" i="16"/>
  <c r="L79" i="16"/>
  <c r="K79" i="16"/>
  <c r="J79" i="16"/>
  <c r="L78" i="16"/>
  <c r="K78" i="16"/>
  <c r="J78" i="16"/>
  <c r="L77" i="16"/>
  <c r="K77" i="16"/>
  <c r="J77" i="16"/>
  <c r="L69" i="16"/>
  <c r="L68" i="16"/>
  <c r="L67" i="16"/>
  <c r="L66" i="16"/>
  <c r="L60" i="16"/>
  <c r="L59" i="16"/>
  <c r="L58" i="16"/>
  <c r="N52" i="16"/>
  <c r="N51" i="16"/>
  <c r="N50" i="16"/>
  <c r="N49" i="16"/>
  <c r="M34" i="16"/>
  <c r="L34" i="16"/>
  <c r="K34" i="16"/>
  <c r="J34" i="16"/>
  <c r="N33" i="16"/>
  <c r="N32" i="16"/>
  <c r="N31" i="16"/>
  <c r="N30" i="16"/>
  <c r="M26" i="16"/>
  <c r="L26" i="16"/>
  <c r="K26" i="16"/>
  <c r="J26" i="16"/>
  <c r="N25" i="16"/>
  <c r="L43" i="16" s="1"/>
  <c r="N24" i="16"/>
  <c r="L42" i="16" s="1"/>
  <c r="N23" i="16"/>
  <c r="L41" i="16" s="1"/>
  <c r="L19" i="16"/>
  <c r="K19" i="16"/>
  <c r="J19" i="16"/>
  <c r="M18" i="16"/>
  <c r="M17" i="16"/>
  <c r="M16" i="16"/>
  <c r="J67" i="16" s="1"/>
  <c r="M15" i="16"/>
  <c r="J66" i="16" s="1"/>
  <c r="N11" i="16"/>
  <c r="N10" i="16"/>
  <c r="N9" i="16"/>
  <c r="N8" i="16"/>
  <c r="N7" i="16"/>
  <c r="N6" i="16"/>
  <c r="N5" i="16"/>
  <c r="N4" i="16"/>
  <c r="N3" i="16" l="1"/>
  <c r="J69" i="16"/>
  <c r="K49" i="16" a="1"/>
  <c r="K49" i="16" s="1"/>
  <c r="J49" i="16" a="1"/>
  <c r="L50" i="16" s="1"/>
  <c r="J41" i="16" a="1"/>
  <c r="J41" i="16" s="1"/>
  <c r="J58" i="16" s="1"/>
  <c r="J68" i="16"/>
  <c r="J42" i="16" l="1"/>
  <c r="J59" i="16" s="1"/>
  <c r="J43" i="16"/>
  <c r="J60" i="16" s="1"/>
  <c r="L52" i="16"/>
  <c r="L51" i="16"/>
  <c r="J49" i="16"/>
  <c r="L49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<sst xmlns="http://schemas.openxmlformats.org/spreadsheetml/2006/main" count="356" uniqueCount="138">
  <si>
    <t>(A) Variable Shipment Cost_Supplier to Plant</t>
  </si>
  <si>
    <t>(B) Variable Shipment Cost_Plant to Retailer</t>
  </si>
  <si>
    <t>(C) Variable Shipment Cost_Supplier to Retailer</t>
  </si>
  <si>
    <t>(D) Fixed Shipment Cost_Supplier to Plant</t>
  </si>
  <si>
    <t>(E) Fixed Shipment Cost_Plant to Retailer</t>
  </si>
  <si>
    <t>(F) Fixed Shipment Cost_Supplier to Retailer</t>
  </si>
  <si>
    <t>(G) Fixed Operating Cost_Supplier</t>
  </si>
  <si>
    <t>(H) Fixed Operating Cost_Plant</t>
  </si>
  <si>
    <t>Variable shipment costs between plant and retailer</t>
  </si>
  <si>
    <t>CPR_jk</t>
  </si>
  <si>
    <t>M</t>
  </si>
  <si>
    <t>N</t>
  </si>
  <si>
    <t>O</t>
  </si>
  <si>
    <t>P</t>
  </si>
  <si>
    <t>E</t>
  </si>
  <si>
    <t>F</t>
  </si>
  <si>
    <t>G</t>
  </si>
  <si>
    <t>Fixed shipment costs between plant and retailer</t>
  </si>
  <si>
    <t>FPR_jk</t>
  </si>
  <si>
    <t>Variable shipment costs between supplier and plant</t>
  </si>
  <si>
    <t>CSP_ij</t>
  </si>
  <si>
    <t>A</t>
  </si>
  <si>
    <t>B</t>
  </si>
  <si>
    <t>C</t>
  </si>
  <si>
    <t>D</t>
  </si>
  <si>
    <t>Fixed shipment costs between supplier and plant</t>
  </si>
  <si>
    <t>FSP_ij</t>
  </si>
  <si>
    <t>Variable shipment costs between  supplier and retailer (direct)</t>
  </si>
  <si>
    <t>CSR_ik</t>
  </si>
  <si>
    <t>Fixed shipment costs between  supplier and retailer (direct)</t>
  </si>
  <si>
    <t>FSR_ik</t>
  </si>
  <si>
    <t>Fixed operating cost</t>
  </si>
  <si>
    <t xml:space="preserve">Max Capacity </t>
  </si>
  <si>
    <t>FP_j</t>
  </si>
  <si>
    <t>CapP_j</t>
  </si>
  <si>
    <t>FS_i</t>
  </si>
  <si>
    <t>CapS_i</t>
  </si>
  <si>
    <t>Retailer Demand</t>
  </si>
  <si>
    <t>Scenario 1</t>
  </si>
  <si>
    <t>Scenario 2</t>
  </si>
  <si>
    <t>Scenario 3</t>
  </si>
  <si>
    <t xml:space="preserve">Minimize: </t>
  </si>
  <si>
    <t>Total Cost = (A)+(B)+(C)+(D)+(E)+(F)+(G)+(H)</t>
  </si>
  <si>
    <t>X_ij</t>
  </si>
  <si>
    <t>Total</t>
  </si>
  <si>
    <t>z_ij</t>
  </si>
  <si>
    <t>X_jk</t>
  </si>
  <si>
    <t>z_jk</t>
  </si>
  <si>
    <t>X_ik</t>
  </si>
  <si>
    <t>z_ik</t>
  </si>
  <si>
    <t>y_i</t>
  </si>
  <si>
    <t>On/Off</t>
  </si>
  <si>
    <t xml:space="preserve">Cons: </t>
  </si>
  <si>
    <t>1 Plant flow balance</t>
  </si>
  <si>
    <t>From S</t>
  </si>
  <si>
    <t>To R</t>
  </si>
  <si>
    <t>=</t>
  </si>
  <si>
    <t>y_j</t>
  </si>
  <si>
    <t>Cons:</t>
  </si>
  <si>
    <t>2 Demand constraint</t>
  </si>
  <si>
    <t>From P</t>
  </si>
  <si>
    <t>Demand</t>
  </si>
  <si>
    <t>&gt;=</t>
  </si>
  <si>
    <t>3 Plant cap constraint</t>
  </si>
  <si>
    <t>Current flow</t>
  </si>
  <si>
    <t>&lt;=</t>
  </si>
  <si>
    <t>4 Supplier cap constraint</t>
  </si>
  <si>
    <t>Outgoining</t>
  </si>
  <si>
    <t>5 Linking const for order b/w S-P</t>
  </si>
  <si>
    <t>(Non-negative)</t>
  </si>
  <si>
    <t>6 Linking const for order b/w P-R</t>
  </si>
  <si>
    <t>7 Linking const for order b/w S-R</t>
  </si>
  <si>
    <t>Weaving</t>
  </si>
  <si>
    <t>Knitting</t>
  </si>
  <si>
    <t>Spinning</t>
  </si>
  <si>
    <t>Pashmina</t>
  </si>
  <si>
    <t>NA</t>
  </si>
  <si>
    <t>SKU#</t>
  </si>
  <si>
    <t>Type</t>
  </si>
  <si>
    <t>Item bucket</t>
  </si>
  <si>
    <t>Wool type</t>
  </si>
  <si>
    <t>Grade</t>
  </si>
  <si>
    <t>Size</t>
  </si>
  <si>
    <t>Quantity of raw material</t>
  </si>
  <si>
    <t>Profit Margin</t>
  </si>
  <si>
    <t>Knitted</t>
  </si>
  <si>
    <t xml:space="preserve">Gloves </t>
  </si>
  <si>
    <t>Medium</t>
  </si>
  <si>
    <t>&lt; 350 gm &gt;</t>
  </si>
  <si>
    <t>&lt; 120% &gt;</t>
  </si>
  <si>
    <t>Stoles / Muflers</t>
  </si>
  <si>
    <t>Yak wool</t>
  </si>
  <si>
    <t>Large</t>
  </si>
  <si>
    <t>&lt; 450 gm &gt;</t>
  </si>
  <si>
    <t>&lt; 80% &gt;</t>
  </si>
  <si>
    <t>Caps</t>
  </si>
  <si>
    <t xml:space="preserve">Socks </t>
  </si>
  <si>
    <t xml:space="preserve">Sweaters </t>
  </si>
  <si>
    <t xml:space="preserve">Leg/ Hand warmers </t>
  </si>
  <si>
    <t>Headband</t>
  </si>
  <si>
    <t>Woven</t>
  </si>
  <si>
    <t xml:space="preserve">Shawls </t>
  </si>
  <si>
    <t xml:space="preserve">Stoles </t>
  </si>
  <si>
    <t xml:space="preserve">Yardages </t>
  </si>
  <si>
    <t xml:space="preserve">Pashmina / Yak wool / Sheep Wool / Camel wool - material </t>
  </si>
  <si>
    <t>Profit margin</t>
  </si>
  <si>
    <t>Pashmina_Knit</t>
  </si>
  <si>
    <t xml:space="preserve"> Pashmina_woven_plain</t>
  </si>
  <si>
    <t>Shawl</t>
  </si>
  <si>
    <t xml:space="preserve"> Muffler</t>
  </si>
  <si>
    <t>Raw material reqd</t>
  </si>
  <si>
    <t>Raw material required per SKU (in gms)</t>
  </si>
  <si>
    <t>RC_a</t>
  </si>
  <si>
    <t>Raw material cost (RC_a), in INR per g</t>
  </si>
  <si>
    <t>Cost</t>
  </si>
  <si>
    <t>Finishing</t>
  </si>
  <si>
    <t>Profit margin per SKU (in %)</t>
  </si>
  <si>
    <t>Sweater</t>
  </si>
  <si>
    <t>Muffler</t>
  </si>
  <si>
    <t>Gloves</t>
  </si>
  <si>
    <t>Cap</t>
  </si>
  <si>
    <t>Min_units to produce</t>
  </si>
  <si>
    <t>Scarf</t>
  </si>
  <si>
    <t xml:space="preserve"> Cap</t>
  </si>
  <si>
    <t xml:space="preserve"> Gloves</t>
  </si>
  <si>
    <t>SKU</t>
  </si>
  <si>
    <t>Raw material needed in gms/SKU</t>
  </si>
  <si>
    <t>Spinning productivity per day per person in gms</t>
  </si>
  <si>
    <t>Plying productivity per day per person in gms</t>
  </si>
  <si>
    <t>Weaving productivity per day per person in gms</t>
  </si>
  <si>
    <t>Knitting productivity per day per person in gms</t>
  </si>
  <si>
    <t xml:space="preserve"> Sweater</t>
  </si>
  <si>
    <t>Per gm Labour cost in INR for each process step per SKU</t>
  </si>
  <si>
    <t>Profit Margin %</t>
  </si>
  <si>
    <t>Raw Material in gms</t>
  </si>
  <si>
    <t>Productivity Matrix</t>
  </si>
  <si>
    <t>Stole</t>
  </si>
  <si>
    <t>Total Dyeing cost in INR per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</si>
</sst>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2" xfId="0" applyFill="1" applyBorder="1"/>
    <xf numFmtId="0" fontId="0" fillId="5" borderId="2" xfId="0" quotePrefix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0" xfId="1"/>
    <xf numFmtId="0" fontId="3" fillId="0" borderId="2" xfId="1" applyBorder="1"/>
    <xf numFmtId="0" fontId="3" fillId="0" borderId="2" xfId="1" applyBorder="1" applyAlignment="1">
      <alignment wrapText="1"/>
    </xf>
    <xf numFmtId="0" fontId="3" fillId="0" borderId="3" xfId="1" applyBorder="1"/>
    <xf numFmtId="0" fontId="3" fillId="9" borderId="2" xfId="1" applyFill="1" applyBorder="1"/>
    <xf numFmtId="0" fontId="0" fillId="0" borderId="1" xfId="0" applyBorder="1"/>
    <xf numFmtId="0" fontId="0" fillId="0" borderId="5" xfId="0" applyBorder="1"/>
    <xf numFmtId="1" fontId="0" fillId="0" borderId="2" xfId="0" applyNumberFormat="1" applyBorder="1" applyAlignment="1">
      <alignment horizontal="center" vertical="center"/>
    </xf>
    <xf numFmtId="1" fontId="0" fillId="0" borderId="0" xfId="3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wrapText="1"/>
    </xf>
    <xf numFmtId="0" fontId="0" fillId="0" borderId="18" xfId="0" applyBorder="1"/>
    <xf numFmtId="0" fontId="0" fillId="0" borderId="19" xfId="0" applyBorder="1"/>
    <xf numFmtId="1" fontId="0" fillId="0" borderId="0" xfId="0" applyNumberFormat="1"/>
    <xf numFmtId="2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1" fontId="0" fillId="0" borderId="21" xfId="0" applyNumberFormat="1" applyBorder="1"/>
    <xf numFmtId="2" fontId="0" fillId="0" borderId="21" xfId="0" applyNumberFormat="1" applyBorder="1"/>
    <xf numFmtId="1" fontId="0" fillId="0" borderId="2" xfId="2" applyNumberFormat="1" applyFont="1" applyBorder="1" applyAlignment="1">
      <alignment horizontal="center"/>
    </xf>
    <xf numFmtId="9" fontId="0" fillId="0" borderId="2" xfId="0" applyNumberFormat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10" borderId="24" xfId="0" applyFill="1" applyBorder="1" applyAlignment="1">
      <alignment wrapText="1"/>
    </xf>
    <xf numFmtId="0" fontId="0" fillId="10" borderId="25" xfId="0" applyFill="1" applyBorder="1"/>
    <xf numFmtId="1" fontId="0" fillId="10" borderId="25" xfId="0" applyNumberFormat="1" applyFill="1" applyBorder="1"/>
    <xf numFmtId="0" fontId="0" fillId="10" borderId="26" xfId="0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4">
    <cellStyle name="Normal" xfId="0" builtinId="0"/>
    <cellStyle name="Normal 2" xfId="1" xr:uid="{DF72FE74-03C5-4FE1-8638-0912496089C0}"/>
    <cellStyle name="Normal 2 2" xfId="2" xr:uid="{338CA66C-BEDB-4BE4-ABA9-B16A33EC5BFD}"/>
    <cellStyle name="Percent 2" xfId="3" xr:uid="{4A30D146-1997-49EB-8A52-4C9D6A8439D9}"/>
  </cellStyles>
  <dxfs count="0"/>
  <tableStyles count="0" defaultTableStyle="TableStyleMedium2" defaultPivotStyle="PivotStyleLight16"/>
  <colors>
    <mruColors>
      <color rgb="FFFF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125A-BDB3-E24C-8F6F-91BF8393BC46}">
  <dimension ref="A3:M63"/>
  <sheetViews>
    <sheetView tabSelected="1" workbookViewId="0">
      <selection activeCell="F61" sqref="F61"/>
    </sheetView>
  </sheetViews>
  <sheetFormatPr defaultColWidth="11.453125" defaultRowHeight="14.5" x14ac:dyDescent="0.35"/>
  <cols>
    <col min="2" max="2" width="22.08984375" bestFit="1" customWidth="1"/>
    <col min="3" max="3" width="16.81640625" customWidth="1"/>
    <col min="6" max="6" width="23.08984375" bestFit="1" customWidth="1"/>
  </cols>
  <sheetData>
    <row r="3" spans="1:4" x14ac:dyDescent="0.35">
      <c r="B3" s="28" t="s">
        <v>116</v>
      </c>
      <c r="C3" s="28"/>
    </row>
    <row r="4" spans="1:4" x14ac:dyDescent="0.35">
      <c r="A4" s="62">
        <v>1</v>
      </c>
      <c r="B4" s="29" t="s">
        <v>105</v>
      </c>
      <c r="C4" s="3" t="s">
        <v>133</v>
      </c>
    </row>
    <row r="5" spans="1:4" x14ac:dyDescent="0.35">
      <c r="A5" s="62"/>
      <c r="B5" s="30" t="s">
        <v>108</v>
      </c>
      <c r="C5" s="46">
        <v>0.25</v>
      </c>
      <c r="D5" s="47"/>
    </row>
    <row r="6" spans="1:4" x14ac:dyDescent="0.35">
      <c r="B6" s="30" t="s">
        <v>136</v>
      </c>
      <c r="C6" s="46">
        <v>0.25</v>
      </c>
      <c r="D6" s="48"/>
    </row>
    <row r="7" spans="1:4" x14ac:dyDescent="0.35">
      <c r="B7" s="30" t="s">
        <v>122</v>
      </c>
      <c r="C7" s="46">
        <v>0.25</v>
      </c>
      <c r="D7" s="48"/>
    </row>
    <row r="8" spans="1:4" x14ac:dyDescent="0.35">
      <c r="B8" s="30" t="s">
        <v>131</v>
      </c>
      <c r="C8" s="46">
        <v>0.25</v>
      </c>
      <c r="D8" s="9"/>
    </row>
    <row r="9" spans="1:4" x14ac:dyDescent="0.35">
      <c r="B9" s="30" t="s">
        <v>109</v>
      </c>
      <c r="C9" s="46">
        <v>0.25</v>
      </c>
      <c r="D9" s="9"/>
    </row>
    <row r="10" spans="1:4" x14ac:dyDescent="0.35">
      <c r="B10" s="30" t="s">
        <v>123</v>
      </c>
      <c r="C10" s="46">
        <v>0.2</v>
      </c>
      <c r="D10" s="9"/>
    </row>
    <row r="11" spans="1:4" x14ac:dyDescent="0.35">
      <c r="B11" s="30" t="s">
        <v>124</v>
      </c>
      <c r="C11" s="46">
        <v>0.2</v>
      </c>
      <c r="D11" s="9"/>
    </row>
    <row r="14" spans="1:4" x14ac:dyDescent="0.35">
      <c r="B14" s="23" t="s">
        <v>111</v>
      </c>
      <c r="C14" s="23"/>
    </row>
    <row r="15" spans="1:4" ht="29" x14ac:dyDescent="0.35">
      <c r="A15" s="62">
        <v>2</v>
      </c>
      <c r="B15" s="29" t="s">
        <v>110</v>
      </c>
      <c r="C15" s="49" t="s">
        <v>134</v>
      </c>
    </row>
    <row r="16" spans="1:4" x14ac:dyDescent="0.35">
      <c r="A16" s="62"/>
      <c r="B16" s="30" t="s">
        <v>108</v>
      </c>
      <c r="C16" s="25">
        <v>510</v>
      </c>
      <c r="D16" s="26"/>
    </row>
    <row r="17" spans="1:13" x14ac:dyDescent="0.35">
      <c r="B17" s="30" t="s">
        <v>136</v>
      </c>
      <c r="C17" s="25">
        <v>390</v>
      </c>
      <c r="D17" s="27"/>
    </row>
    <row r="18" spans="1:13" x14ac:dyDescent="0.35">
      <c r="B18" s="30" t="s">
        <v>122</v>
      </c>
      <c r="C18" s="25">
        <v>210</v>
      </c>
      <c r="D18" s="27"/>
    </row>
    <row r="19" spans="1:13" x14ac:dyDescent="0.35">
      <c r="B19" s="30" t="s">
        <v>117</v>
      </c>
      <c r="C19" s="45">
        <v>320</v>
      </c>
      <c r="D19" s="27"/>
    </row>
    <row r="20" spans="1:13" x14ac:dyDescent="0.35">
      <c r="B20" s="30" t="s">
        <v>109</v>
      </c>
      <c r="C20" s="45">
        <v>175</v>
      </c>
      <c r="D20" s="27"/>
    </row>
    <row r="21" spans="1:13" x14ac:dyDescent="0.35">
      <c r="B21" s="30" t="s">
        <v>123</v>
      </c>
      <c r="C21" s="25">
        <v>65</v>
      </c>
      <c r="D21" s="27"/>
    </row>
    <row r="22" spans="1:13" x14ac:dyDescent="0.35">
      <c r="B22" s="30" t="s">
        <v>124</v>
      </c>
      <c r="C22" s="25">
        <v>70</v>
      </c>
      <c r="D22" s="27"/>
    </row>
    <row r="25" spans="1:13" x14ac:dyDescent="0.35">
      <c r="A25" s="60">
        <v>3</v>
      </c>
      <c r="B25" t="s">
        <v>113</v>
      </c>
    </row>
    <row r="26" spans="1:13" x14ac:dyDescent="0.35">
      <c r="A26" s="61"/>
      <c r="B26" s="29" t="s">
        <v>112</v>
      </c>
      <c r="C26" s="3" t="s">
        <v>106</v>
      </c>
      <c r="D26" s="3" t="s">
        <v>107</v>
      </c>
    </row>
    <row r="27" spans="1:13" x14ac:dyDescent="0.35">
      <c r="B27" s="30" t="s">
        <v>114</v>
      </c>
      <c r="C27" s="3">
        <v>10.25</v>
      </c>
      <c r="D27" s="3">
        <v>10.25</v>
      </c>
    </row>
    <row r="28" spans="1:13" ht="15" thickBot="1" x14ac:dyDescent="0.4"/>
    <row r="29" spans="1:13" ht="44" thickBot="1" x14ac:dyDescent="0.4">
      <c r="A29" s="60">
        <v>4</v>
      </c>
      <c r="B29" s="40" t="s">
        <v>125</v>
      </c>
      <c r="C29" s="41" t="s">
        <v>126</v>
      </c>
      <c r="D29" s="63" t="s">
        <v>132</v>
      </c>
      <c r="E29" s="63"/>
      <c r="F29" s="63"/>
      <c r="G29" s="63"/>
      <c r="H29" s="41" t="s">
        <v>137</v>
      </c>
      <c r="I29" s="41"/>
      <c r="J29" s="41"/>
      <c r="K29" s="41"/>
      <c r="L29" s="41"/>
      <c r="M29" s="42"/>
    </row>
    <row r="30" spans="1:13" x14ac:dyDescent="0.35">
      <c r="A30" s="61"/>
      <c r="B30" s="33"/>
      <c r="D30" s="24" t="s">
        <v>74</v>
      </c>
      <c r="E30" s="24" t="s">
        <v>73</v>
      </c>
      <c r="F30" s="24" t="s">
        <v>72</v>
      </c>
      <c r="G30" s="24" t="s">
        <v>115</v>
      </c>
      <c r="M30" s="34"/>
    </row>
    <row r="31" spans="1:13" x14ac:dyDescent="0.35">
      <c r="B31" s="33" t="s">
        <v>108</v>
      </c>
      <c r="C31" s="35">
        <v>510</v>
      </c>
      <c r="D31" s="36">
        <v>3</v>
      </c>
      <c r="E31" s="36" t="s">
        <v>76</v>
      </c>
      <c r="F31" s="36">
        <v>1.46</v>
      </c>
      <c r="G31" s="36">
        <v>0.6</v>
      </c>
      <c r="H31" s="35">
        <v>830.48399999999992</v>
      </c>
      <c r="K31" s="35"/>
      <c r="L31" s="36"/>
      <c r="M31" s="34"/>
    </row>
    <row r="32" spans="1:13" x14ac:dyDescent="0.35">
      <c r="B32" s="33" t="s">
        <v>136</v>
      </c>
      <c r="C32" s="35">
        <v>390</v>
      </c>
      <c r="D32" s="36">
        <v>3</v>
      </c>
      <c r="E32" s="36" t="s">
        <v>76</v>
      </c>
      <c r="F32" s="36">
        <v>1.79</v>
      </c>
      <c r="G32" s="36">
        <v>0.6</v>
      </c>
      <c r="H32" s="35">
        <v>635.07599999999991</v>
      </c>
      <c r="K32" s="35"/>
      <c r="L32" s="36"/>
      <c r="M32" s="34"/>
    </row>
    <row r="33" spans="1:13" x14ac:dyDescent="0.35">
      <c r="B33" s="33" t="s">
        <v>122</v>
      </c>
      <c r="C33" s="35">
        <v>210</v>
      </c>
      <c r="D33" s="36">
        <v>3</v>
      </c>
      <c r="E33" s="36" t="s">
        <v>76</v>
      </c>
      <c r="F33" s="36">
        <v>3</v>
      </c>
      <c r="G33" s="36">
        <v>0.6</v>
      </c>
      <c r="H33" s="35">
        <v>341.96399999999994</v>
      </c>
      <c r="K33" s="35"/>
      <c r="L33" s="36"/>
      <c r="M33" s="34"/>
    </row>
    <row r="34" spans="1:13" x14ac:dyDescent="0.35">
      <c r="B34" s="33" t="s">
        <v>117</v>
      </c>
      <c r="C34" s="35">
        <v>320</v>
      </c>
      <c r="D34" s="36">
        <v>3</v>
      </c>
      <c r="E34" s="36">
        <v>3</v>
      </c>
      <c r="F34" s="36" t="s">
        <v>76</v>
      </c>
      <c r="G34" s="36">
        <v>0.6</v>
      </c>
      <c r="H34" s="35">
        <v>488</v>
      </c>
      <c r="K34" s="35"/>
      <c r="L34" s="36"/>
      <c r="M34" s="34"/>
    </row>
    <row r="35" spans="1:13" x14ac:dyDescent="0.35">
      <c r="B35" s="33" t="s">
        <v>118</v>
      </c>
      <c r="C35" s="35">
        <v>175</v>
      </c>
      <c r="D35" s="36">
        <v>3</v>
      </c>
      <c r="E35" s="36">
        <v>3</v>
      </c>
      <c r="F35" s="36" t="s">
        <v>76</v>
      </c>
      <c r="G35" s="36">
        <v>0.6</v>
      </c>
      <c r="H35" s="35">
        <v>284.96999999999997</v>
      </c>
      <c r="K35" s="35"/>
      <c r="L35" s="36"/>
      <c r="M35" s="34"/>
    </row>
    <row r="36" spans="1:13" x14ac:dyDescent="0.35">
      <c r="B36" s="33" t="s">
        <v>120</v>
      </c>
      <c r="C36" s="35">
        <v>65</v>
      </c>
      <c r="D36" s="36">
        <v>3</v>
      </c>
      <c r="E36" s="36">
        <v>3</v>
      </c>
      <c r="F36" s="36" t="s">
        <v>76</v>
      </c>
      <c r="G36" s="36">
        <v>0.6</v>
      </c>
      <c r="H36" s="35">
        <v>122</v>
      </c>
      <c r="K36" s="35"/>
      <c r="L36" s="36"/>
      <c r="M36" s="34"/>
    </row>
    <row r="37" spans="1:13" ht="15" thickBot="1" x14ac:dyDescent="0.4">
      <c r="B37" s="37" t="s">
        <v>119</v>
      </c>
      <c r="C37" s="43">
        <v>70</v>
      </c>
      <c r="D37" s="44">
        <v>3</v>
      </c>
      <c r="E37" s="44">
        <v>3</v>
      </c>
      <c r="F37" s="44" t="s">
        <v>76</v>
      </c>
      <c r="G37" s="44">
        <v>0.6</v>
      </c>
      <c r="H37" s="43">
        <v>119</v>
      </c>
      <c r="I37" s="38"/>
      <c r="J37" s="38"/>
      <c r="K37" s="43"/>
      <c r="L37" s="44"/>
      <c r="M37" s="39"/>
    </row>
    <row r="41" spans="1:13" x14ac:dyDescent="0.35">
      <c r="A41" s="60">
        <v>5</v>
      </c>
      <c r="B41" t="s">
        <v>135</v>
      </c>
    </row>
    <row r="42" spans="1:13" ht="15" thickBot="1" x14ac:dyDescent="0.4">
      <c r="A42" s="61"/>
    </row>
    <row r="43" spans="1:13" ht="73" thickBot="1" x14ac:dyDescent="0.4">
      <c r="B43" s="31" t="s">
        <v>125</v>
      </c>
      <c r="C43" s="32" t="s">
        <v>126</v>
      </c>
      <c r="D43" s="32" t="s">
        <v>127</v>
      </c>
      <c r="E43" s="32" t="s">
        <v>128</v>
      </c>
      <c r="F43" s="32" t="s">
        <v>129</v>
      </c>
      <c r="G43" s="32" t="s">
        <v>130</v>
      </c>
      <c r="H43" s="32"/>
      <c r="I43" s="32"/>
      <c r="J43" s="32"/>
      <c r="K43" s="32"/>
      <c r="L43" s="32"/>
      <c r="M43" s="56"/>
    </row>
    <row r="44" spans="1:13" x14ac:dyDescent="0.35">
      <c r="B44" s="33"/>
      <c r="M44" s="57"/>
    </row>
    <row r="45" spans="1:13" x14ac:dyDescent="0.35">
      <c r="B45" s="33" t="s">
        <v>108</v>
      </c>
      <c r="C45" s="35">
        <v>510</v>
      </c>
      <c r="D45">
        <v>21.5</v>
      </c>
      <c r="E45">
        <v>250</v>
      </c>
      <c r="F45">
        <v>500</v>
      </c>
      <c r="G45" t="s">
        <v>76</v>
      </c>
      <c r="H45" s="36"/>
      <c r="L45" s="36"/>
      <c r="M45" s="58"/>
    </row>
    <row r="46" spans="1:13" x14ac:dyDescent="0.35">
      <c r="B46" s="33" t="s">
        <v>136</v>
      </c>
      <c r="C46" s="35">
        <v>390</v>
      </c>
      <c r="D46">
        <v>21.5</v>
      </c>
      <c r="E46">
        <v>250</v>
      </c>
      <c r="F46">
        <v>500</v>
      </c>
      <c r="G46" t="s">
        <v>76</v>
      </c>
      <c r="H46" s="36"/>
      <c r="L46" s="36"/>
      <c r="M46" s="58"/>
    </row>
    <row r="47" spans="1:13" x14ac:dyDescent="0.35">
      <c r="B47" s="33" t="s">
        <v>122</v>
      </c>
      <c r="C47" s="35">
        <v>210</v>
      </c>
      <c r="D47">
        <v>21.5</v>
      </c>
      <c r="E47">
        <v>250</v>
      </c>
      <c r="F47">
        <v>500</v>
      </c>
      <c r="G47" t="s">
        <v>76</v>
      </c>
      <c r="H47" s="36"/>
      <c r="L47" s="36"/>
      <c r="M47" s="58"/>
    </row>
    <row r="48" spans="1:13" x14ac:dyDescent="0.35">
      <c r="B48" s="33" t="s">
        <v>117</v>
      </c>
      <c r="C48" s="35">
        <v>320</v>
      </c>
      <c r="D48">
        <v>37.5</v>
      </c>
      <c r="E48">
        <v>500</v>
      </c>
      <c r="F48" t="s">
        <v>76</v>
      </c>
      <c r="G48">
        <v>50</v>
      </c>
      <c r="H48" s="36"/>
      <c r="L48" s="36"/>
      <c r="M48" s="58"/>
    </row>
    <row r="49" spans="1:13" x14ac:dyDescent="0.35">
      <c r="B49" s="33" t="s">
        <v>118</v>
      </c>
      <c r="C49" s="35">
        <v>175</v>
      </c>
      <c r="D49">
        <v>37.5</v>
      </c>
      <c r="E49">
        <v>500</v>
      </c>
      <c r="F49" t="s">
        <v>76</v>
      </c>
      <c r="G49">
        <v>50</v>
      </c>
      <c r="H49" s="36"/>
      <c r="L49" s="36"/>
      <c r="M49" s="58"/>
    </row>
    <row r="50" spans="1:13" x14ac:dyDescent="0.35">
      <c r="B50" s="33" t="s">
        <v>120</v>
      </c>
      <c r="C50" s="35">
        <v>65</v>
      </c>
      <c r="D50">
        <v>37.5</v>
      </c>
      <c r="E50">
        <v>500</v>
      </c>
      <c r="F50" t="s">
        <v>76</v>
      </c>
      <c r="G50">
        <v>50</v>
      </c>
      <c r="H50" s="36"/>
      <c r="L50" s="36"/>
      <c r="M50" s="58"/>
    </row>
    <row r="51" spans="1:13" x14ac:dyDescent="0.35">
      <c r="B51" s="33" t="s">
        <v>119</v>
      </c>
      <c r="C51" s="35">
        <v>70</v>
      </c>
      <c r="D51">
        <v>37.5</v>
      </c>
      <c r="E51">
        <v>500</v>
      </c>
      <c r="F51" t="s">
        <v>76</v>
      </c>
      <c r="G51">
        <v>50</v>
      </c>
      <c r="H51" s="36"/>
      <c r="L51" s="36"/>
      <c r="M51" s="58"/>
    </row>
    <row r="52" spans="1:13" ht="15" thickBot="1" x14ac:dyDescent="0.4"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59"/>
    </row>
    <row r="56" spans="1:13" ht="15" thickBot="1" x14ac:dyDescent="0.4">
      <c r="A56" s="60">
        <v>6</v>
      </c>
      <c r="B56" t="s">
        <v>121</v>
      </c>
    </row>
    <row r="57" spans="1:13" x14ac:dyDescent="0.35">
      <c r="A57" s="61"/>
      <c r="B57" s="50" t="s">
        <v>108</v>
      </c>
      <c r="C57" s="51"/>
      <c r="D57" s="52">
        <v>2</v>
      </c>
    </row>
    <row r="58" spans="1:13" x14ac:dyDescent="0.35">
      <c r="B58" s="33" t="s">
        <v>136</v>
      </c>
      <c r="C58" s="3"/>
      <c r="D58" s="53">
        <v>5</v>
      </c>
    </row>
    <row r="59" spans="1:13" x14ac:dyDescent="0.35">
      <c r="B59" s="33" t="s">
        <v>122</v>
      </c>
      <c r="C59" s="3"/>
      <c r="D59" s="53">
        <v>10</v>
      </c>
    </row>
    <row r="60" spans="1:13" x14ac:dyDescent="0.35">
      <c r="B60" s="33" t="s">
        <v>117</v>
      </c>
      <c r="C60" s="3"/>
      <c r="D60" s="53">
        <v>2</v>
      </c>
    </row>
    <row r="61" spans="1:13" x14ac:dyDescent="0.35">
      <c r="B61" s="33" t="s">
        <v>118</v>
      </c>
      <c r="C61" s="3"/>
      <c r="D61" s="53">
        <v>4</v>
      </c>
    </row>
    <row r="62" spans="1:13" x14ac:dyDescent="0.35">
      <c r="B62" s="33" t="s">
        <v>120</v>
      </c>
      <c r="C62" s="3"/>
      <c r="D62" s="53">
        <v>5</v>
      </c>
    </row>
    <row r="63" spans="1:13" ht="15" thickBot="1" x14ac:dyDescent="0.4">
      <c r="B63" s="37" t="s">
        <v>119</v>
      </c>
      <c r="C63" s="54"/>
      <c r="D63" s="55">
        <v>5</v>
      </c>
    </row>
  </sheetData>
  <mergeCells count="7">
    <mergeCell ref="A4:A5"/>
    <mergeCell ref="A15:A16"/>
    <mergeCell ref="D29:G29"/>
    <mergeCell ref="A29:A30"/>
    <mergeCell ref="A25:A26"/>
    <mergeCell ref="A41:A42"/>
    <mergeCell ref="A56:A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D994-3A0A-4992-BF06-6E89F78AE4BC}">
  <dimension ref="A1:H14"/>
  <sheetViews>
    <sheetView workbookViewId="0">
      <selection activeCell="B10" sqref="B10"/>
    </sheetView>
  </sheetViews>
  <sheetFormatPr defaultColWidth="9.08984375" defaultRowHeight="15.5" x14ac:dyDescent="0.35"/>
  <cols>
    <col min="1" max="2" width="9.08984375" style="18"/>
    <col min="3" max="3" width="19.08984375" style="18" customWidth="1"/>
    <col min="4" max="6" width="9.08984375" style="18"/>
    <col min="7" max="7" width="14.453125" style="18" customWidth="1"/>
    <col min="8" max="8" width="13.08984375" style="18" bestFit="1" customWidth="1"/>
    <col min="9" max="16384" width="9.08984375" style="18"/>
  </cols>
  <sheetData>
    <row r="1" spans="1:8" ht="31" x14ac:dyDescent="0.35">
      <c r="A1" s="19" t="s">
        <v>77</v>
      </c>
      <c r="B1" s="19" t="s">
        <v>78</v>
      </c>
      <c r="C1" s="19" t="s">
        <v>79</v>
      </c>
      <c r="D1" s="19" t="s">
        <v>80</v>
      </c>
      <c r="E1" s="19" t="s">
        <v>81</v>
      </c>
      <c r="F1" s="19" t="s">
        <v>82</v>
      </c>
      <c r="G1" s="20" t="s">
        <v>83</v>
      </c>
      <c r="H1" s="21" t="s">
        <v>84</v>
      </c>
    </row>
    <row r="2" spans="1:8" x14ac:dyDescent="0.35">
      <c r="A2" s="19">
        <v>1</v>
      </c>
      <c r="B2" s="19" t="s">
        <v>85</v>
      </c>
      <c r="C2" s="19" t="s">
        <v>86</v>
      </c>
      <c r="D2" s="19" t="s">
        <v>75</v>
      </c>
      <c r="E2" s="19" t="s">
        <v>21</v>
      </c>
      <c r="F2" s="19" t="s">
        <v>87</v>
      </c>
      <c r="G2" s="22" t="s">
        <v>88</v>
      </c>
      <c r="H2" s="22" t="s">
        <v>89</v>
      </c>
    </row>
    <row r="3" spans="1:8" x14ac:dyDescent="0.35">
      <c r="A3" s="19">
        <v>2</v>
      </c>
      <c r="B3" s="19" t="s">
        <v>85</v>
      </c>
      <c r="C3" s="19" t="s">
        <v>90</v>
      </c>
      <c r="D3" s="19" t="s">
        <v>91</v>
      </c>
      <c r="E3" s="19" t="s">
        <v>22</v>
      </c>
      <c r="F3" s="19" t="s">
        <v>92</v>
      </c>
      <c r="G3" s="22" t="s">
        <v>93</v>
      </c>
      <c r="H3" s="22" t="s">
        <v>94</v>
      </c>
    </row>
    <row r="4" spans="1:8" x14ac:dyDescent="0.35">
      <c r="B4" s="18" t="s">
        <v>85</v>
      </c>
      <c r="C4" s="18" t="s">
        <v>95</v>
      </c>
    </row>
    <row r="5" spans="1:8" x14ac:dyDescent="0.35">
      <c r="B5" s="18" t="s">
        <v>85</v>
      </c>
      <c r="C5" s="18" t="s">
        <v>96</v>
      </c>
    </row>
    <row r="6" spans="1:8" x14ac:dyDescent="0.35">
      <c r="B6" s="18" t="s">
        <v>85</v>
      </c>
      <c r="C6" s="18" t="s">
        <v>97</v>
      </c>
    </row>
    <row r="7" spans="1:8" x14ac:dyDescent="0.35">
      <c r="B7" s="18" t="s">
        <v>85</v>
      </c>
      <c r="C7" s="18" t="s">
        <v>98</v>
      </c>
    </row>
    <row r="8" spans="1:8" x14ac:dyDescent="0.35">
      <c r="B8" s="18" t="s">
        <v>85</v>
      </c>
      <c r="C8" s="18" t="s">
        <v>99</v>
      </c>
    </row>
    <row r="9" spans="1:8" x14ac:dyDescent="0.35">
      <c r="B9" s="18" t="s">
        <v>100</v>
      </c>
      <c r="C9" s="18" t="s">
        <v>101</v>
      </c>
    </row>
    <row r="10" spans="1:8" x14ac:dyDescent="0.35">
      <c r="B10" s="18" t="s">
        <v>100</v>
      </c>
      <c r="C10" s="18" t="s">
        <v>102</v>
      </c>
    </row>
    <row r="11" spans="1:8" x14ac:dyDescent="0.35">
      <c r="B11" s="18" t="s">
        <v>100</v>
      </c>
      <c r="C11" s="18" t="s">
        <v>103</v>
      </c>
    </row>
    <row r="14" spans="1:8" x14ac:dyDescent="0.35">
      <c r="C14" s="18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E726-119A-47D8-BA19-03E240F31C4E}">
  <dimension ref="B3:V97"/>
  <sheetViews>
    <sheetView showGridLines="0" workbookViewId="0">
      <selection activeCell="J78" sqref="J78"/>
    </sheetView>
  </sheetViews>
  <sheetFormatPr defaultColWidth="8.81640625" defaultRowHeight="14.5" x14ac:dyDescent="0.35"/>
  <cols>
    <col min="2" max="6" width="11.36328125" customWidth="1"/>
    <col min="8" max="8" width="17.6328125" bestFit="1" customWidth="1"/>
  </cols>
  <sheetData>
    <row r="3" spans="2:20" x14ac:dyDescent="0.35">
      <c r="H3" t="s">
        <v>41</v>
      </c>
      <c r="I3" s="67" t="s">
        <v>42</v>
      </c>
      <c r="J3" s="67"/>
      <c r="K3" s="67"/>
      <c r="L3" s="67"/>
      <c r="M3" s="67"/>
      <c r="N3" s="11">
        <f>SUM(N4:N11)</f>
        <v>115500</v>
      </c>
    </row>
    <row r="4" spans="2:20" x14ac:dyDescent="0.35">
      <c r="I4" s="68" t="s">
        <v>0</v>
      </c>
      <c r="J4" s="68"/>
      <c r="K4" s="68"/>
      <c r="L4" s="68"/>
      <c r="M4" s="68"/>
      <c r="N4" s="12">
        <f>SUMPRODUCT(J15:L18,C18:E21)</f>
        <v>18000</v>
      </c>
    </row>
    <row r="5" spans="2:20" x14ac:dyDescent="0.35">
      <c r="I5" s="68" t="s">
        <v>1</v>
      </c>
      <c r="J5" s="68"/>
      <c r="K5" s="68"/>
      <c r="L5" s="68"/>
      <c r="M5" s="68"/>
      <c r="N5" s="12">
        <f>SUMPRODUCT(J23:M25,C8:F10)</f>
        <v>36000</v>
      </c>
    </row>
    <row r="6" spans="2:20" x14ac:dyDescent="0.35">
      <c r="B6" s="65" t="s">
        <v>8</v>
      </c>
      <c r="C6" s="65"/>
      <c r="D6" s="65"/>
      <c r="E6" s="65"/>
      <c r="F6" s="65"/>
      <c r="I6" s="68" t="s">
        <v>2</v>
      </c>
      <c r="J6" s="68"/>
      <c r="K6" s="68"/>
      <c r="L6" s="68"/>
      <c r="M6" s="68"/>
      <c r="N6" s="12">
        <f>SUMPRODUCT(J30:M33,C30:F33)</f>
        <v>20000</v>
      </c>
    </row>
    <row r="7" spans="2:20" x14ac:dyDescent="0.35"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I7" s="68" t="s">
        <v>3</v>
      </c>
      <c r="J7" s="68"/>
      <c r="K7" s="68"/>
      <c r="L7" s="68"/>
      <c r="M7" s="68"/>
      <c r="N7" s="12">
        <f>SUMPRODUCT(R15:T18,C24:E27)</f>
        <v>9500</v>
      </c>
    </row>
    <row r="8" spans="2:20" x14ac:dyDescent="0.35">
      <c r="B8" s="1" t="s">
        <v>14</v>
      </c>
      <c r="C8" s="1">
        <v>4</v>
      </c>
      <c r="D8" s="1">
        <v>14</v>
      </c>
      <c r="E8" s="1">
        <v>12</v>
      </c>
      <c r="F8" s="1">
        <v>14</v>
      </c>
      <c r="I8" s="68" t="s">
        <v>4</v>
      </c>
      <c r="J8" s="68"/>
      <c r="K8" s="68"/>
      <c r="L8" s="68"/>
      <c r="M8" s="68"/>
      <c r="N8" s="12">
        <f>SUMPRODUCT(R23:U25,C13:F15)</f>
        <v>19000</v>
      </c>
    </row>
    <row r="9" spans="2:20" x14ac:dyDescent="0.35">
      <c r="B9" s="1" t="s">
        <v>15</v>
      </c>
      <c r="C9" s="1">
        <v>6</v>
      </c>
      <c r="D9" s="1">
        <v>6</v>
      </c>
      <c r="E9" s="1">
        <v>10</v>
      </c>
      <c r="F9" s="1">
        <v>12</v>
      </c>
      <c r="I9" s="68" t="s">
        <v>5</v>
      </c>
      <c r="J9" s="68"/>
      <c r="K9" s="68"/>
      <c r="L9" s="68"/>
      <c r="M9" s="68"/>
      <c r="N9" s="12">
        <f>SUMPRODUCT(R30:U33,C36:F39)</f>
        <v>5000</v>
      </c>
    </row>
    <row r="10" spans="2:20" x14ac:dyDescent="0.35">
      <c r="B10" s="1" t="s">
        <v>16</v>
      </c>
      <c r="C10" s="1">
        <v>10</v>
      </c>
      <c r="D10" s="1">
        <v>8</v>
      </c>
      <c r="E10" s="1">
        <v>8</v>
      </c>
      <c r="F10" s="1">
        <v>10</v>
      </c>
      <c r="I10" s="68" t="s">
        <v>6</v>
      </c>
      <c r="J10" s="68"/>
      <c r="K10" s="68"/>
      <c r="L10" s="68"/>
      <c r="M10" s="68"/>
      <c r="N10" s="12">
        <f>SUMPRODUCT(R38:R41,C49:C52)</f>
        <v>3500</v>
      </c>
    </row>
    <row r="11" spans="2:20" x14ac:dyDescent="0.35">
      <c r="B11" s="65" t="s">
        <v>17</v>
      </c>
      <c r="C11" s="65"/>
      <c r="D11" s="65"/>
      <c r="E11" s="65"/>
      <c r="F11" s="65"/>
      <c r="I11" s="68" t="s">
        <v>7</v>
      </c>
      <c r="J11" s="68"/>
      <c r="K11" s="68"/>
      <c r="L11" s="68"/>
      <c r="M11" s="68"/>
      <c r="N11" s="12">
        <f>SUMPRODUCT(R44:R46,C43:C45)</f>
        <v>4500</v>
      </c>
    </row>
    <row r="12" spans="2:20" x14ac:dyDescent="0.35">
      <c r="B12" s="1" t="s">
        <v>18</v>
      </c>
      <c r="C12" s="1" t="s">
        <v>10</v>
      </c>
      <c r="D12" s="1" t="s">
        <v>11</v>
      </c>
      <c r="E12" s="1" t="s">
        <v>12</v>
      </c>
      <c r="F12" s="1" t="s">
        <v>13</v>
      </c>
    </row>
    <row r="13" spans="2:20" x14ac:dyDescent="0.35">
      <c r="B13" s="1" t="s">
        <v>14</v>
      </c>
      <c r="C13" s="1">
        <v>5500</v>
      </c>
      <c r="D13" s="1">
        <v>6000</v>
      </c>
      <c r="E13" s="1">
        <v>6500</v>
      </c>
      <c r="F13" s="1">
        <v>7000</v>
      </c>
    </row>
    <row r="14" spans="2:20" x14ac:dyDescent="0.35">
      <c r="B14" s="1" t="s">
        <v>15</v>
      </c>
      <c r="C14" s="1">
        <v>6000</v>
      </c>
      <c r="D14" s="1">
        <v>7500</v>
      </c>
      <c r="E14" s="1">
        <v>8500</v>
      </c>
      <c r="F14" s="1">
        <v>5000</v>
      </c>
      <c r="I14" s="5" t="s">
        <v>43</v>
      </c>
      <c r="J14" s="5" t="s">
        <v>14</v>
      </c>
      <c r="K14" s="5" t="s">
        <v>15</v>
      </c>
      <c r="L14" s="5" t="s">
        <v>16</v>
      </c>
      <c r="M14" s="5" t="s">
        <v>44</v>
      </c>
      <c r="Q14" s="5" t="s">
        <v>45</v>
      </c>
      <c r="R14" s="5" t="s">
        <v>14</v>
      </c>
      <c r="S14" s="5" t="s">
        <v>15</v>
      </c>
      <c r="T14" s="5" t="s">
        <v>16</v>
      </c>
    </row>
    <row r="15" spans="2:20" x14ac:dyDescent="0.35">
      <c r="B15" s="1" t="s">
        <v>16</v>
      </c>
      <c r="C15" s="1">
        <v>7000</v>
      </c>
      <c r="D15" s="1">
        <v>10000</v>
      </c>
      <c r="E15" s="1">
        <v>6000</v>
      </c>
      <c r="F15" s="1">
        <v>8000</v>
      </c>
      <c r="I15" s="5" t="s">
        <v>21</v>
      </c>
      <c r="J15" s="6">
        <v>0</v>
      </c>
      <c r="K15" s="6">
        <v>1999.9999999999998</v>
      </c>
      <c r="L15" s="6">
        <v>1999.9999999999998</v>
      </c>
      <c r="M15" s="3">
        <f>SUM(J15:L15)</f>
        <v>3999.9999999999995</v>
      </c>
      <c r="Q15" s="5" t="s">
        <v>21</v>
      </c>
      <c r="R15" s="6">
        <v>0</v>
      </c>
      <c r="S15" s="6">
        <v>1</v>
      </c>
      <c r="T15" s="6">
        <v>1</v>
      </c>
    </row>
    <row r="16" spans="2:20" x14ac:dyDescent="0.35">
      <c r="B16" s="65" t="s">
        <v>19</v>
      </c>
      <c r="C16" s="65"/>
      <c r="D16" s="65"/>
      <c r="E16" s="65"/>
      <c r="F16" s="65"/>
      <c r="I16" s="5" t="s">
        <v>22</v>
      </c>
      <c r="J16" s="6">
        <v>0</v>
      </c>
      <c r="K16" s="6">
        <v>0</v>
      </c>
      <c r="L16" s="6">
        <v>0</v>
      </c>
      <c r="M16" s="3">
        <f t="shared" ref="M16:M18" si="0">SUM(J16:L16)</f>
        <v>0</v>
      </c>
      <c r="Q16" s="5" t="s">
        <v>22</v>
      </c>
      <c r="R16" s="6">
        <v>0</v>
      </c>
      <c r="S16" s="6">
        <v>0</v>
      </c>
      <c r="T16" s="6">
        <v>0</v>
      </c>
    </row>
    <row r="17" spans="2:22" x14ac:dyDescent="0.35">
      <c r="B17" s="1" t="s">
        <v>20</v>
      </c>
      <c r="C17" s="1" t="s">
        <v>14</v>
      </c>
      <c r="D17" s="1" t="s">
        <v>15</v>
      </c>
      <c r="E17" s="1" t="s">
        <v>16</v>
      </c>
      <c r="F17" s="1"/>
      <c r="I17" s="5" t="s">
        <v>23</v>
      </c>
      <c r="J17" s="6">
        <v>2000</v>
      </c>
      <c r="K17" s="6">
        <v>0</v>
      </c>
      <c r="L17" s="6">
        <v>0</v>
      </c>
      <c r="M17" s="3">
        <f t="shared" si="0"/>
        <v>2000</v>
      </c>
      <c r="Q17" s="5" t="s">
        <v>23</v>
      </c>
      <c r="R17" s="6">
        <v>1</v>
      </c>
      <c r="S17" s="6">
        <v>0</v>
      </c>
      <c r="T17" s="6">
        <v>0</v>
      </c>
    </row>
    <row r="18" spans="2:22" x14ac:dyDescent="0.35">
      <c r="B18" s="1" t="s">
        <v>21</v>
      </c>
      <c r="C18" s="1">
        <v>7</v>
      </c>
      <c r="D18" s="1">
        <v>3</v>
      </c>
      <c r="E18" s="1">
        <v>4</v>
      </c>
      <c r="F18" s="1"/>
      <c r="I18" s="5" t="s">
        <v>24</v>
      </c>
      <c r="J18" s="6">
        <v>0</v>
      </c>
      <c r="K18" s="6">
        <v>0</v>
      </c>
      <c r="L18" s="6">
        <v>0</v>
      </c>
      <c r="M18" s="3">
        <f t="shared" si="0"/>
        <v>0</v>
      </c>
      <c r="Q18" s="5" t="s">
        <v>24</v>
      </c>
      <c r="R18" s="6">
        <v>0</v>
      </c>
      <c r="S18" s="6">
        <v>0</v>
      </c>
      <c r="T18" s="6">
        <v>0</v>
      </c>
    </row>
    <row r="19" spans="2:22" x14ac:dyDescent="0.35">
      <c r="B19" s="1" t="s">
        <v>22</v>
      </c>
      <c r="C19" s="1">
        <v>6</v>
      </c>
      <c r="D19" s="1">
        <v>5</v>
      </c>
      <c r="E19" s="1">
        <v>4</v>
      </c>
      <c r="F19" s="1"/>
      <c r="I19" s="5" t="s">
        <v>44</v>
      </c>
      <c r="J19" s="3">
        <f>SUM(J15:J18)</f>
        <v>2000</v>
      </c>
      <c r="K19" s="3">
        <f t="shared" ref="K19:L19" si="1">SUM(K15:K18)</f>
        <v>1999.9999999999998</v>
      </c>
      <c r="L19" s="3">
        <f t="shared" si="1"/>
        <v>1999.9999999999998</v>
      </c>
    </row>
    <row r="20" spans="2:22" x14ac:dyDescent="0.35">
      <c r="B20" s="1" t="s">
        <v>23</v>
      </c>
      <c r="C20" s="1">
        <v>2</v>
      </c>
      <c r="D20" s="1">
        <v>3</v>
      </c>
      <c r="E20" s="1">
        <v>5</v>
      </c>
      <c r="F20" s="1"/>
    </row>
    <row r="21" spans="2:22" x14ac:dyDescent="0.35">
      <c r="B21" s="1" t="s">
        <v>24</v>
      </c>
      <c r="C21" s="1">
        <v>7</v>
      </c>
      <c r="D21" s="1">
        <v>6</v>
      </c>
      <c r="E21" s="1">
        <v>5</v>
      </c>
      <c r="F21" s="1"/>
    </row>
    <row r="22" spans="2:22" x14ac:dyDescent="0.35">
      <c r="B22" s="65" t="s">
        <v>25</v>
      </c>
      <c r="C22" s="65"/>
      <c r="D22" s="65"/>
      <c r="E22" s="65"/>
      <c r="F22" s="65"/>
      <c r="I22" s="5" t="s">
        <v>46</v>
      </c>
      <c r="J22" s="5" t="s">
        <v>10</v>
      </c>
      <c r="K22" s="5" t="s">
        <v>11</v>
      </c>
      <c r="L22" s="5" t="s">
        <v>12</v>
      </c>
      <c r="M22" s="5" t="s">
        <v>13</v>
      </c>
      <c r="N22" s="5" t="s">
        <v>44</v>
      </c>
      <c r="Q22" s="5" t="s">
        <v>47</v>
      </c>
      <c r="R22" s="5" t="s">
        <v>10</v>
      </c>
      <c r="S22" s="5" t="s">
        <v>11</v>
      </c>
      <c r="T22" s="5" t="s">
        <v>12</v>
      </c>
      <c r="U22" s="5" t="s">
        <v>13</v>
      </c>
      <c r="V22" s="7"/>
    </row>
    <row r="23" spans="2:22" x14ac:dyDescent="0.35">
      <c r="B23" s="1" t="s">
        <v>26</v>
      </c>
      <c r="C23" s="1" t="s">
        <v>14</v>
      </c>
      <c r="D23" s="1" t="s">
        <v>15</v>
      </c>
      <c r="E23" s="1" t="s">
        <v>16</v>
      </c>
      <c r="F23" s="1"/>
      <c r="I23" s="5" t="s">
        <v>14</v>
      </c>
      <c r="J23" s="6">
        <v>2000</v>
      </c>
      <c r="K23" s="6">
        <v>0</v>
      </c>
      <c r="L23" s="6">
        <v>0</v>
      </c>
      <c r="M23" s="6">
        <v>0</v>
      </c>
      <c r="N23" s="3">
        <f>SUM(J23:M23)</f>
        <v>2000</v>
      </c>
      <c r="Q23" s="5" t="s">
        <v>14</v>
      </c>
      <c r="R23" s="6">
        <v>1</v>
      </c>
      <c r="S23" s="6">
        <v>0</v>
      </c>
      <c r="T23" s="6">
        <v>0</v>
      </c>
      <c r="U23" s="6">
        <v>0</v>
      </c>
    </row>
    <row r="24" spans="2:22" x14ac:dyDescent="0.35">
      <c r="B24" s="1" t="s">
        <v>21</v>
      </c>
      <c r="C24" s="1">
        <v>2500</v>
      </c>
      <c r="D24" s="1">
        <v>3000</v>
      </c>
      <c r="E24" s="1">
        <v>3500</v>
      </c>
      <c r="F24" s="1"/>
      <c r="I24" s="5" t="s">
        <v>15</v>
      </c>
      <c r="J24" s="6">
        <v>0</v>
      </c>
      <c r="K24" s="6">
        <v>2000</v>
      </c>
      <c r="L24" s="6">
        <v>0</v>
      </c>
      <c r="M24" s="6">
        <v>0</v>
      </c>
      <c r="N24" s="3">
        <f t="shared" ref="N24:N25" si="2">SUM(J24:M24)</f>
        <v>2000</v>
      </c>
      <c r="Q24" s="5" t="s">
        <v>15</v>
      </c>
      <c r="R24" s="6">
        <v>0</v>
      </c>
      <c r="S24" s="6">
        <v>1</v>
      </c>
      <c r="T24" s="6">
        <v>0</v>
      </c>
      <c r="U24" s="6">
        <v>0</v>
      </c>
    </row>
    <row r="25" spans="2:22" x14ac:dyDescent="0.35">
      <c r="B25" s="1" t="s">
        <v>22</v>
      </c>
      <c r="C25" s="1">
        <v>3000</v>
      </c>
      <c r="D25" s="1">
        <v>4500</v>
      </c>
      <c r="E25" s="1">
        <v>3000</v>
      </c>
      <c r="F25" s="1"/>
      <c r="I25" s="5" t="s">
        <v>16</v>
      </c>
      <c r="J25" s="6">
        <v>0</v>
      </c>
      <c r="K25" s="6">
        <v>0</v>
      </c>
      <c r="L25" s="6">
        <v>2000</v>
      </c>
      <c r="M25" s="6">
        <v>0</v>
      </c>
      <c r="N25" s="3">
        <f t="shared" si="2"/>
        <v>2000</v>
      </c>
      <c r="Q25" s="5" t="s">
        <v>16</v>
      </c>
      <c r="R25" s="6">
        <v>0</v>
      </c>
      <c r="S25" s="6">
        <v>0</v>
      </c>
      <c r="T25" s="6">
        <v>1</v>
      </c>
      <c r="U25" s="6">
        <v>0</v>
      </c>
    </row>
    <row r="26" spans="2:22" x14ac:dyDescent="0.35">
      <c r="B26" s="1" t="s">
        <v>23</v>
      </c>
      <c r="C26" s="1">
        <v>3000</v>
      </c>
      <c r="D26" s="1">
        <v>4000</v>
      </c>
      <c r="E26" s="1">
        <v>5000</v>
      </c>
      <c r="F26" s="1"/>
      <c r="I26" s="5" t="s">
        <v>44</v>
      </c>
      <c r="J26" s="3">
        <f>SUM(J23:J25)</f>
        <v>2000</v>
      </c>
      <c r="K26" s="3">
        <f t="shared" ref="K26:M26" si="3">SUM(K23:K25)</f>
        <v>2000</v>
      </c>
      <c r="L26" s="3">
        <f t="shared" si="3"/>
        <v>2000</v>
      </c>
      <c r="M26" s="3">
        <f t="shared" si="3"/>
        <v>0</v>
      </c>
      <c r="Q26" s="7"/>
    </row>
    <row r="27" spans="2:22" x14ac:dyDescent="0.35">
      <c r="B27" s="1" t="s">
        <v>24</v>
      </c>
      <c r="C27" s="1">
        <v>3500</v>
      </c>
      <c r="D27" s="1">
        <v>2500</v>
      </c>
      <c r="E27" s="1">
        <v>4000</v>
      </c>
      <c r="F27" s="1"/>
    </row>
    <row r="28" spans="2:22" x14ac:dyDescent="0.35">
      <c r="B28" s="65" t="s">
        <v>27</v>
      </c>
      <c r="C28" s="65"/>
      <c r="D28" s="65"/>
      <c r="E28" s="65"/>
      <c r="F28" s="65"/>
    </row>
    <row r="29" spans="2:22" x14ac:dyDescent="0.35">
      <c r="B29" s="1" t="s">
        <v>28</v>
      </c>
      <c r="C29" s="1" t="s">
        <v>10</v>
      </c>
      <c r="D29" s="1" t="s">
        <v>11</v>
      </c>
      <c r="E29" s="1" t="s">
        <v>12</v>
      </c>
      <c r="F29" s="1" t="s">
        <v>13</v>
      </c>
      <c r="I29" s="4" t="s">
        <v>48</v>
      </c>
      <c r="J29" s="4" t="s">
        <v>10</v>
      </c>
      <c r="K29" s="4" t="s">
        <v>11</v>
      </c>
      <c r="L29" s="4" t="s">
        <v>12</v>
      </c>
      <c r="M29" s="4" t="s">
        <v>13</v>
      </c>
      <c r="N29" s="5" t="s">
        <v>44</v>
      </c>
      <c r="Q29" s="4" t="s">
        <v>49</v>
      </c>
      <c r="R29" s="4" t="s">
        <v>10</v>
      </c>
      <c r="S29" s="4" t="s">
        <v>11</v>
      </c>
      <c r="T29" s="4" t="s">
        <v>12</v>
      </c>
      <c r="U29" s="4" t="s">
        <v>13</v>
      </c>
      <c r="V29" s="7"/>
    </row>
    <row r="30" spans="2:22" x14ac:dyDescent="0.35">
      <c r="B30" s="1" t="s">
        <v>21</v>
      </c>
      <c r="C30" s="1">
        <v>12</v>
      </c>
      <c r="D30" s="1">
        <v>14</v>
      </c>
      <c r="E30" s="1">
        <v>24</v>
      </c>
      <c r="F30" s="1">
        <v>16</v>
      </c>
      <c r="I30" s="4" t="s">
        <v>21</v>
      </c>
      <c r="J30" s="6">
        <v>0</v>
      </c>
      <c r="K30" s="6">
        <v>0</v>
      </c>
      <c r="L30" s="6">
        <v>0</v>
      </c>
      <c r="M30" s="6">
        <v>0</v>
      </c>
      <c r="N30" s="3">
        <f>SUM(J30:M30)</f>
        <v>0</v>
      </c>
      <c r="Q30" s="4" t="s">
        <v>21</v>
      </c>
      <c r="R30" s="6">
        <v>0</v>
      </c>
      <c r="S30" s="6">
        <v>0</v>
      </c>
      <c r="T30" s="6">
        <v>0</v>
      </c>
      <c r="U30" s="6">
        <v>0</v>
      </c>
    </row>
    <row r="31" spans="2:22" x14ac:dyDescent="0.35">
      <c r="B31" s="1" t="s">
        <v>22</v>
      </c>
      <c r="C31" s="1">
        <v>16</v>
      </c>
      <c r="D31" s="1">
        <v>14</v>
      </c>
      <c r="E31" s="1">
        <v>16</v>
      </c>
      <c r="F31" s="1">
        <v>22</v>
      </c>
      <c r="I31" s="4" t="s">
        <v>22</v>
      </c>
      <c r="J31" s="6">
        <v>0</v>
      </c>
      <c r="K31" s="6">
        <v>0</v>
      </c>
      <c r="L31" s="6">
        <v>0</v>
      </c>
      <c r="M31" s="6">
        <v>0</v>
      </c>
      <c r="N31" s="3">
        <f t="shared" ref="N31:N33" si="4">SUM(J31:M31)</f>
        <v>0</v>
      </c>
      <c r="Q31" s="4" t="s">
        <v>22</v>
      </c>
      <c r="R31" s="6">
        <v>0</v>
      </c>
      <c r="S31" s="6">
        <v>0</v>
      </c>
      <c r="T31" s="6">
        <v>0</v>
      </c>
      <c r="U31" s="6">
        <v>0</v>
      </c>
    </row>
    <row r="32" spans="2:22" x14ac:dyDescent="0.35">
      <c r="B32" s="1" t="s">
        <v>23</v>
      </c>
      <c r="C32" s="1">
        <v>22</v>
      </c>
      <c r="D32" s="1">
        <v>18</v>
      </c>
      <c r="E32" s="1">
        <v>16</v>
      </c>
      <c r="F32" s="1">
        <v>10</v>
      </c>
      <c r="I32" s="4" t="s">
        <v>23</v>
      </c>
      <c r="J32" s="6">
        <v>0</v>
      </c>
      <c r="K32" s="6">
        <v>0</v>
      </c>
      <c r="L32" s="6">
        <v>0</v>
      </c>
      <c r="M32" s="6">
        <v>2000</v>
      </c>
      <c r="N32" s="3">
        <f t="shared" si="4"/>
        <v>2000</v>
      </c>
      <c r="Q32" s="4" t="s">
        <v>23</v>
      </c>
      <c r="R32" s="6">
        <v>0</v>
      </c>
      <c r="S32" s="6">
        <v>0</v>
      </c>
      <c r="T32" s="6">
        <v>0</v>
      </c>
      <c r="U32" s="6">
        <v>1</v>
      </c>
    </row>
    <row r="33" spans="2:21" x14ac:dyDescent="0.35">
      <c r="B33" s="1" t="s">
        <v>24</v>
      </c>
      <c r="C33" s="1">
        <v>14</v>
      </c>
      <c r="D33" s="1">
        <v>20</v>
      </c>
      <c r="E33" s="1">
        <v>20</v>
      </c>
      <c r="F33" s="1">
        <v>18</v>
      </c>
      <c r="I33" s="4" t="s">
        <v>24</v>
      </c>
      <c r="J33" s="6">
        <v>0</v>
      </c>
      <c r="K33" s="6">
        <v>0</v>
      </c>
      <c r="L33" s="6">
        <v>0</v>
      </c>
      <c r="M33" s="6">
        <v>0</v>
      </c>
      <c r="N33" s="3">
        <f t="shared" si="4"/>
        <v>0</v>
      </c>
      <c r="Q33" s="4" t="s">
        <v>24</v>
      </c>
      <c r="R33" s="6">
        <v>0</v>
      </c>
      <c r="S33" s="6">
        <v>0</v>
      </c>
      <c r="T33" s="6">
        <v>0</v>
      </c>
      <c r="U33" s="6">
        <v>0</v>
      </c>
    </row>
    <row r="34" spans="2:21" x14ac:dyDescent="0.35">
      <c r="B34" s="65" t="s">
        <v>29</v>
      </c>
      <c r="C34" s="65"/>
      <c r="D34" s="65"/>
      <c r="E34" s="65"/>
      <c r="F34" s="65"/>
      <c r="I34" s="5" t="s">
        <v>44</v>
      </c>
      <c r="J34" s="3">
        <f>SUM(J30:J33)</f>
        <v>0</v>
      </c>
      <c r="K34" s="3">
        <f t="shared" ref="K34" si="5">SUM(K30:K33)</f>
        <v>0</v>
      </c>
      <c r="L34" s="3">
        <f>SUM(L30:L33)</f>
        <v>0</v>
      </c>
      <c r="M34" s="3">
        <f>SUM(M30:M33)</f>
        <v>2000</v>
      </c>
      <c r="Q34" s="7"/>
    </row>
    <row r="35" spans="2:21" x14ac:dyDescent="0.35">
      <c r="B35" s="1" t="s">
        <v>30</v>
      </c>
      <c r="C35" s="1" t="s">
        <v>10</v>
      </c>
      <c r="D35" s="1" t="s">
        <v>11</v>
      </c>
      <c r="E35" s="1" t="s">
        <v>12</v>
      </c>
      <c r="F35" s="1" t="s">
        <v>13</v>
      </c>
    </row>
    <row r="36" spans="2:21" x14ac:dyDescent="0.35">
      <c r="B36" s="1" t="s">
        <v>21</v>
      </c>
      <c r="C36" s="1">
        <v>10000</v>
      </c>
      <c r="D36" s="1">
        <v>9000</v>
      </c>
      <c r="E36" s="1">
        <v>6000</v>
      </c>
      <c r="F36" s="1">
        <v>4000</v>
      </c>
    </row>
    <row r="37" spans="2:21" x14ac:dyDescent="0.35">
      <c r="B37" s="1" t="s">
        <v>22</v>
      </c>
      <c r="C37" s="1">
        <v>3000</v>
      </c>
      <c r="D37" s="1">
        <v>8000</v>
      </c>
      <c r="E37" s="1">
        <v>9000</v>
      </c>
      <c r="F37" s="1">
        <v>4000</v>
      </c>
      <c r="Q37" s="5" t="s">
        <v>50</v>
      </c>
      <c r="R37" s="5" t="s">
        <v>51</v>
      </c>
    </row>
    <row r="38" spans="2:21" x14ac:dyDescent="0.35">
      <c r="B38" s="1" t="s">
        <v>23</v>
      </c>
      <c r="C38" s="1">
        <v>7000</v>
      </c>
      <c r="D38" s="1">
        <v>3000</v>
      </c>
      <c r="E38" s="1">
        <v>4000</v>
      </c>
      <c r="F38" s="1">
        <v>5000</v>
      </c>
      <c r="I38" t="s">
        <v>52</v>
      </c>
      <c r="J38" t="s">
        <v>53</v>
      </c>
      <c r="Q38" s="5" t="s">
        <v>21</v>
      </c>
      <c r="R38" s="6">
        <v>1</v>
      </c>
    </row>
    <row r="39" spans="2:21" x14ac:dyDescent="0.35">
      <c r="B39" s="1" t="s">
        <v>24</v>
      </c>
      <c r="C39" s="1">
        <v>9000</v>
      </c>
      <c r="D39" s="1">
        <v>7000</v>
      </c>
      <c r="E39" s="1">
        <v>8000</v>
      </c>
      <c r="F39" s="1">
        <v>6000</v>
      </c>
      <c r="Q39" s="5" t="s">
        <v>22</v>
      </c>
      <c r="R39" s="6">
        <v>0</v>
      </c>
    </row>
    <row r="40" spans="2:21" x14ac:dyDescent="0.35">
      <c r="I40" s="3"/>
      <c r="J40" s="15" t="s">
        <v>54</v>
      </c>
      <c r="K40" s="15"/>
      <c r="L40" s="15" t="s">
        <v>55</v>
      </c>
      <c r="Q40" s="5" t="s">
        <v>23</v>
      </c>
      <c r="R40" s="6">
        <v>1</v>
      </c>
    </row>
    <row r="41" spans="2:21" x14ac:dyDescent="0.35">
      <c r="B41" s="66" t="s">
        <v>31</v>
      </c>
      <c r="C41" s="66"/>
      <c r="D41" s="66" t="s">
        <v>32</v>
      </c>
      <c r="E41" s="66"/>
      <c r="I41" s="14" t="s">
        <v>14</v>
      </c>
      <c r="J41" s="15">
        <f t="array" ref="J41:J43">TRANSPOSE(J19:L19)</f>
        <v>2000</v>
      </c>
      <c r="K41" s="16" t="s">
        <v>56</v>
      </c>
      <c r="L41" s="15">
        <f>N23</f>
        <v>2000</v>
      </c>
      <c r="Q41" s="5" t="s">
        <v>24</v>
      </c>
      <c r="R41" s="6">
        <v>0</v>
      </c>
    </row>
    <row r="42" spans="2:21" x14ac:dyDescent="0.35">
      <c r="B42" s="2"/>
      <c r="C42" s="2" t="s">
        <v>33</v>
      </c>
      <c r="D42" s="2"/>
      <c r="E42" s="2" t="s">
        <v>34</v>
      </c>
      <c r="I42" s="14" t="s">
        <v>15</v>
      </c>
      <c r="J42" s="15">
        <v>1999.9999999999998</v>
      </c>
      <c r="K42" s="16" t="s">
        <v>56</v>
      </c>
      <c r="L42" s="15">
        <f t="shared" ref="L42:L43" si="6">N24</f>
        <v>2000</v>
      </c>
    </row>
    <row r="43" spans="2:21" x14ac:dyDescent="0.35">
      <c r="B43" s="2" t="s">
        <v>14</v>
      </c>
      <c r="C43" s="2">
        <v>1500</v>
      </c>
      <c r="D43" s="2" t="s">
        <v>14</v>
      </c>
      <c r="E43" s="2">
        <v>4000</v>
      </c>
      <c r="I43" s="14" t="s">
        <v>16</v>
      </c>
      <c r="J43" s="15">
        <v>1999.9999999999998</v>
      </c>
      <c r="K43" s="16" t="s">
        <v>56</v>
      </c>
      <c r="L43" s="15">
        <f t="shared" si="6"/>
        <v>2000</v>
      </c>
      <c r="Q43" s="5" t="s">
        <v>57</v>
      </c>
      <c r="R43" s="5" t="s">
        <v>51</v>
      </c>
    </row>
    <row r="44" spans="2:21" x14ac:dyDescent="0.35">
      <c r="B44" s="2" t="s">
        <v>15</v>
      </c>
      <c r="C44" s="2">
        <v>2000</v>
      </c>
      <c r="D44" s="2" t="s">
        <v>15</v>
      </c>
      <c r="E44" s="2">
        <v>6000</v>
      </c>
      <c r="Q44" s="5" t="s">
        <v>14</v>
      </c>
      <c r="R44" s="6">
        <v>1</v>
      </c>
    </row>
    <row r="45" spans="2:21" x14ac:dyDescent="0.35">
      <c r="B45" s="2" t="s">
        <v>16</v>
      </c>
      <c r="C45" s="2">
        <v>1000</v>
      </c>
      <c r="D45" s="2" t="s">
        <v>16</v>
      </c>
      <c r="E45" s="2">
        <v>5000</v>
      </c>
      <c r="Q45" s="5" t="s">
        <v>15</v>
      </c>
      <c r="R45" s="6">
        <v>1</v>
      </c>
    </row>
    <row r="46" spans="2:21" x14ac:dyDescent="0.35">
      <c r="I46" s="8" t="s">
        <v>58</v>
      </c>
      <c r="J46" t="s">
        <v>59</v>
      </c>
      <c r="Q46" s="5" t="s">
        <v>16</v>
      </c>
      <c r="R46" s="6">
        <v>1</v>
      </c>
    </row>
    <row r="47" spans="2:21" x14ac:dyDescent="0.35">
      <c r="B47" s="66" t="s">
        <v>31</v>
      </c>
      <c r="C47" s="66"/>
      <c r="D47" s="66" t="s">
        <v>32</v>
      </c>
      <c r="E47" s="66"/>
    </row>
    <row r="48" spans="2:21" x14ac:dyDescent="0.35">
      <c r="B48" s="2"/>
      <c r="C48" s="1" t="s">
        <v>35</v>
      </c>
      <c r="D48" s="2"/>
      <c r="E48" s="1" t="s">
        <v>36</v>
      </c>
      <c r="I48" s="3"/>
      <c r="J48" s="3" t="s">
        <v>54</v>
      </c>
      <c r="K48" s="3" t="s">
        <v>60</v>
      </c>
      <c r="L48" s="15" t="s">
        <v>44</v>
      </c>
      <c r="M48" s="15"/>
      <c r="N48" s="15" t="s">
        <v>61</v>
      </c>
    </row>
    <row r="49" spans="2:14" x14ac:dyDescent="0.35">
      <c r="B49" s="2" t="s">
        <v>21</v>
      </c>
      <c r="C49" s="1">
        <v>2500</v>
      </c>
      <c r="D49" s="2" t="s">
        <v>21</v>
      </c>
      <c r="E49" s="1">
        <v>6000</v>
      </c>
      <c r="I49" s="4" t="s">
        <v>10</v>
      </c>
      <c r="J49" s="3" cm="1">
        <f t="array" ref="J49:J52">TRANSPOSE(J34:M34)</f>
        <v>0</v>
      </c>
      <c r="K49" s="3" cm="1">
        <f t="array" ref="K49:K52">TRANSPOSE(J26:M26)</f>
        <v>2000</v>
      </c>
      <c r="L49" s="15">
        <f>J49+K49</f>
        <v>2000</v>
      </c>
      <c r="M49" s="17" t="s">
        <v>62</v>
      </c>
      <c r="N49" s="15">
        <f>C56</f>
        <v>2000</v>
      </c>
    </row>
    <row r="50" spans="2:14" x14ac:dyDescent="0.35">
      <c r="B50" s="2" t="s">
        <v>22</v>
      </c>
      <c r="C50" s="1">
        <v>3000</v>
      </c>
      <c r="D50" s="2" t="s">
        <v>22</v>
      </c>
      <c r="E50" s="1">
        <v>2000</v>
      </c>
      <c r="I50" s="4" t="s">
        <v>11</v>
      </c>
      <c r="J50" s="3">
        <v>0</v>
      </c>
      <c r="K50" s="3">
        <v>2000</v>
      </c>
      <c r="L50" s="15">
        <f t="shared" ref="L50:L52" si="7">J50+K50</f>
        <v>2000</v>
      </c>
      <c r="M50" s="17" t="s">
        <v>62</v>
      </c>
      <c r="N50" s="15">
        <f>C57</f>
        <v>2000</v>
      </c>
    </row>
    <row r="51" spans="2:14" x14ac:dyDescent="0.35">
      <c r="B51" s="2" t="s">
        <v>23</v>
      </c>
      <c r="C51" s="1">
        <v>1000</v>
      </c>
      <c r="D51" s="2" t="s">
        <v>23</v>
      </c>
      <c r="E51" s="1">
        <v>5000</v>
      </c>
      <c r="I51" s="4" t="s">
        <v>12</v>
      </c>
      <c r="J51" s="3">
        <v>0</v>
      </c>
      <c r="K51" s="3">
        <v>2000</v>
      </c>
      <c r="L51" s="15">
        <f t="shared" si="7"/>
        <v>2000</v>
      </c>
      <c r="M51" s="17" t="s">
        <v>62</v>
      </c>
      <c r="N51" s="15">
        <f>C58</f>
        <v>2000</v>
      </c>
    </row>
    <row r="52" spans="2:14" x14ac:dyDescent="0.35">
      <c r="B52" s="2" t="s">
        <v>24</v>
      </c>
      <c r="C52" s="1">
        <v>2000</v>
      </c>
      <c r="D52" s="2" t="s">
        <v>24</v>
      </c>
      <c r="E52" s="1">
        <v>7000</v>
      </c>
      <c r="I52" s="4" t="s">
        <v>13</v>
      </c>
      <c r="J52" s="3">
        <v>2000</v>
      </c>
      <c r="K52" s="3">
        <v>0</v>
      </c>
      <c r="L52" s="15">
        <f t="shared" si="7"/>
        <v>2000</v>
      </c>
      <c r="M52" s="17" t="s">
        <v>62</v>
      </c>
      <c r="N52" s="15">
        <f>C59</f>
        <v>2000</v>
      </c>
    </row>
    <row r="54" spans="2:14" x14ac:dyDescent="0.35">
      <c r="B54" s="64" t="s">
        <v>37</v>
      </c>
      <c r="C54" s="64"/>
      <c r="D54" s="64"/>
      <c r="E54" s="64"/>
    </row>
    <row r="55" spans="2:14" x14ac:dyDescent="0.35">
      <c r="B55" s="3"/>
      <c r="C55" s="4" t="s">
        <v>38</v>
      </c>
      <c r="D55" s="13" t="s">
        <v>39</v>
      </c>
      <c r="E55" s="13" t="s">
        <v>40</v>
      </c>
      <c r="I55" s="9" t="s">
        <v>58</v>
      </c>
      <c r="J55" t="s">
        <v>63</v>
      </c>
    </row>
    <row r="56" spans="2:14" x14ac:dyDescent="0.35">
      <c r="B56" s="2" t="s">
        <v>10</v>
      </c>
      <c r="C56" s="1">
        <v>2000</v>
      </c>
      <c r="D56" s="13">
        <v>4000</v>
      </c>
      <c r="E56" s="13">
        <v>3000</v>
      </c>
      <c r="I56" s="9"/>
    </row>
    <row r="57" spans="2:14" x14ac:dyDescent="0.35">
      <c r="B57" s="2" t="s">
        <v>11</v>
      </c>
      <c r="C57" s="1">
        <v>2000</v>
      </c>
      <c r="D57" s="13">
        <v>3000</v>
      </c>
      <c r="E57" s="13">
        <v>4000</v>
      </c>
      <c r="I57" s="3"/>
      <c r="J57" s="15" t="s">
        <v>64</v>
      </c>
      <c r="K57" s="15"/>
      <c r="L57" s="15" t="s">
        <v>34</v>
      </c>
    </row>
    <row r="58" spans="2:14" x14ac:dyDescent="0.35">
      <c r="B58" s="2" t="s">
        <v>12</v>
      </c>
      <c r="C58" s="1">
        <v>2000</v>
      </c>
      <c r="D58" s="13">
        <v>4000</v>
      </c>
      <c r="E58" s="13">
        <v>3000</v>
      </c>
      <c r="I58" s="5" t="s">
        <v>14</v>
      </c>
      <c r="J58" s="15">
        <f>J41</f>
        <v>2000</v>
      </c>
      <c r="K58" s="17" t="s">
        <v>65</v>
      </c>
      <c r="L58" s="15">
        <f>E43*R44</f>
        <v>4000</v>
      </c>
    </row>
    <row r="59" spans="2:14" x14ac:dyDescent="0.35">
      <c r="B59" s="2" t="s">
        <v>13</v>
      </c>
      <c r="C59" s="1">
        <v>2000</v>
      </c>
      <c r="D59" s="13">
        <v>3000</v>
      </c>
      <c r="E59" s="13">
        <v>4000</v>
      </c>
      <c r="I59" s="5" t="s">
        <v>15</v>
      </c>
      <c r="J59" s="15">
        <f t="shared" ref="J59:J60" si="8">J42</f>
        <v>1999.9999999999998</v>
      </c>
      <c r="K59" s="17" t="s">
        <v>65</v>
      </c>
      <c r="L59" s="15">
        <f>E44*R45</f>
        <v>6000</v>
      </c>
    </row>
    <row r="60" spans="2:14" x14ac:dyDescent="0.35">
      <c r="I60" s="5" t="s">
        <v>16</v>
      </c>
      <c r="J60" s="15">
        <f t="shared" si="8"/>
        <v>1999.9999999999998</v>
      </c>
      <c r="K60" s="17" t="s">
        <v>65</v>
      </c>
      <c r="L60" s="15">
        <f>E45*R46</f>
        <v>5000</v>
      </c>
    </row>
    <row r="63" spans="2:14" x14ac:dyDescent="0.35">
      <c r="I63" s="9" t="s">
        <v>58</v>
      </c>
      <c r="J63" t="s">
        <v>66</v>
      </c>
    </row>
    <row r="65" spans="9:13" x14ac:dyDescent="0.35">
      <c r="I65" s="3"/>
      <c r="J65" s="15" t="s">
        <v>67</v>
      </c>
      <c r="K65" s="15"/>
      <c r="L65" s="15" t="s">
        <v>36</v>
      </c>
    </row>
    <row r="66" spans="9:13" x14ac:dyDescent="0.35">
      <c r="I66" s="4" t="s">
        <v>21</v>
      </c>
      <c r="J66" s="15">
        <f>M15+N30</f>
        <v>3999.9999999999995</v>
      </c>
      <c r="K66" s="17" t="s">
        <v>65</v>
      </c>
      <c r="L66" s="15">
        <f>E49*R38</f>
        <v>6000</v>
      </c>
    </row>
    <row r="67" spans="9:13" x14ac:dyDescent="0.35">
      <c r="I67" s="4" t="s">
        <v>22</v>
      </c>
      <c r="J67" s="15">
        <f t="shared" ref="J67:J69" si="9">M16+N31</f>
        <v>0</v>
      </c>
      <c r="K67" s="17" t="s">
        <v>65</v>
      </c>
      <c r="L67" s="15">
        <f>E50*R39</f>
        <v>0</v>
      </c>
    </row>
    <row r="68" spans="9:13" x14ac:dyDescent="0.35">
      <c r="I68" s="4" t="s">
        <v>23</v>
      </c>
      <c r="J68" s="15">
        <f t="shared" si="9"/>
        <v>4000</v>
      </c>
      <c r="K68" s="17" t="s">
        <v>65</v>
      </c>
      <c r="L68" s="15">
        <f>E51*R40</f>
        <v>5000</v>
      </c>
    </row>
    <row r="69" spans="9:13" x14ac:dyDescent="0.35">
      <c r="I69" s="4" t="s">
        <v>24</v>
      </c>
      <c r="J69" s="15">
        <f t="shared" si="9"/>
        <v>0</v>
      </c>
      <c r="K69" s="17" t="s">
        <v>65</v>
      </c>
      <c r="L69" s="15">
        <f>E52*R41</f>
        <v>0</v>
      </c>
    </row>
    <row r="72" spans="9:13" x14ac:dyDescent="0.35">
      <c r="I72" s="9" t="s">
        <v>58</v>
      </c>
      <c r="J72" t="s">
        <v>68</v>
      </c>
    </row>
    <row r="74" spans="9:13" x14ac:dyDescent="0.35">
      <c r="I74" t="s">
        <v>10</v>
      </c>
      <c r="J74">
        <v>20000</v>
      </c>
    </row>
    <row r="75" spans="9:13" x14ac:dyDescent="0.35">
      <c r="M75" t="s">
        <v>69</v>
      </c>
    </row>
    <row r="76" spans="9:13" x14ac:dyDescent="0.35">
      <c r="I76" s="5"/>
      <c r="J76" s="5" t="s">
        <v>14</v>
      </c>
      <c r="K76" s="5" t="s">
        <v>15</v>
      </c>
      <c r="L76" s="5" t="s">
        <v>16</v>
      </c>
    </row>
    <row r="77" spans="9:13" x14ac:dyDescent="0.35">
      <c r="I77" s="5" t="s">
        <v>21</v>
      </c>
      <c r="J77" s="10">
        <f>$J$74*R15-J15</f>
        <v>0</v>
      </c>
      <c r="K77" s="10">
        <f t="shared" ref="K77:L80" si="10">$J$74*S15-K15</f>
        <v>18000</v>
      </c>
      <c r="L77" s="10">
        <f t="shared" si="10"/>
        <v>18000</v>
      </c>
    </row>
    <row r="78" spans="9:13" x14ac:dyDescent="0.35">
      <c r="I78" s="5" t="s">
        <v>22</v>
      </c>
      <c r="J78" s="10">
        <f t="shared" ref="J78:J80" si="11">$J$74*R16-J16</f>
        <v>0</v>
      </c>
      <c r="K78" s="10">
        <f t="shared" si="10"/>
        <v>0</v>
      </c>
      <c r="L78" s="10">
        <f t="shared" si="10"/>
        <v>0</v>
      </c>
    </row>
    <row r="79" spans="9:13" x14ac:dyDescent="0.35">
      <c r="I79" s="5" t="s">
        <v>23</v>
      </c>
      <c r="J79" s="10">
        <f t="shared" si="11"/>
        <v>18000</v>
      </c>
      <c r="K79" s="10">
        <f t="shared" si="10"/>
        <v>0</v>
      </c>
      <c r="L79" s="10">
        <f t="shared" si="10"/>
        <v>0</v>
      </c>
    </row>
    <row r="80" spans="9:13" x14ac:dyDescent="0.35">
      <c r="I80" s="5" t="s">
        <v>24</v>
      </c>
      <c r="J80" s="10">
        <f t="shared" si="11"/>
        <v>0</v>
      </c>
      <c r="K80" s="10">
        <f t="shared" si="10"/>
        <v>0</v>
      </c>
      <c r="L80" s="10">
        <f t="shared" si="10"/>
        <v>0</v>
      </c>
    </row>
    <row r="83" spans="9:14" x14ac:dyDescent="0.35">
      <c r="I83" s="9" t="s">
        <v>58</v>
      </c>
      <c r="J83" t="s">
        <v>70</v>
      </c>
    </row>
    <row r="84" spans="9:14" x14ac:dyDescent="0.35">
      <c r="N84" t="s">
        <v>69</v>
      </c>
    </row>
    <row r="85" spans="9:14" x14ac:dyDescent="0.35">
      <c r="I85" s="5"/>
      <c r="J85" s="5" t="s">
        <v>10</v>
      </c>
      <c r="K85" s="5" t="s">
        <v>11</v>
      </c>
      <c r="L85" s="5" t="s">
        <v>12</v>
      </c>
      <c r="M85" s="5" t="s">
        <v>13</v>
      </c>
    </row>
    <row r="86" spans="9:14" x14ac:dyDescent="0.35">
      <c r="I86" s="5" t="s">
        <v>14</v>
      </c>
      <c r="J86" s="10">
        <f>$J$74*R23-J23</f>
        <v>18000</v>
      </c>
      <c r="K86" s="10">
        <f t="shared" ref="K86:M88" si="12">$J$74*S23-K23</f>
        <v>0</v>
      </c>
      <c r="L86" s="10">
        <f t="shared" si="12"/>
        <v>0</v>
      </c>
      <c r="M86" s="10">
        <f t="shared" si="12"/>
        <v>0</v>
      </c>
    </row>
    <row r="87" spans="9:14" x14ac:dyDescent="0.35">
      <c r="I87" s="5" t="s">
        <v>15</v>
      </c>
      <c r="J87" s="10">
        <f t="shared" ref="J87:J88" si="13">$J$74*R24-J24</f>
        <v>0</v>
      </c>
      <c r="K87" s="10">
        <f t="shared" si="12"/>
        <v>18000</v>
      </c>
      <c r="L87" s="10">
        <f t="shared" si="12"/>
        <v>0</v>
      </c>
      <c r="M87" s="10">
        <f t="shared" si="12"/>
        <v>0</v>
      </c>
    </row>
    <row r="88" spans="9:14" x14ac:dyDescent="0.35">
      <c r="I88" s="5" t="s">
        <v>16</v>
      </c>
      <c r="J88" s="10">
        <f t="shared" si="13"/>
        <v>0</v>
      </c>
      <c r="K88" s="10">
        <f t="shared" si="12"/>
        <v>0</v>
      </c>
      <c r="L88" s="10">
        <f t="shared" si="12"/>
        <v>18000</v>
      </c>
      <c r="M88" s="10">
        <f t="shared" si="12"/>
        <v>0</v>
      </c>
    </row>
    <row r="91" spans="9:14" x14ac:dyDescent="0.35">
      <c r="I91" s="9" t="s">
        <v>58</v>
      </c>
      <c r="J91" t="s">
        <v>71</v>
      </c>
    </row>
    <row r="92" spans="9:14" x14ac:dyDescent="0.35">
      <c r="N92" t="s">
        <v>69</v>
      </c>
    </row>
    <row r="93" spans="9:14" x14ac:dyDescent="0.35">
      <c r="I93" s="5"/>
      <c r="J93" s="5" t="s">
        <v>10</v>
      </c>
      <c r="K93" s="5" t="s">
        <v>11</v>
      </c>
      <c r="L93" s="5" t="s">
        <v>12</v>
      </c>
      <c r="M93" s="5" t="s">
        <v>13</v>
      </c>
    </row>
    <row r="94" spans="9:14" x14ac:dyDescent="0.35">
      <c r="I94" s="4" t="s">
        <v>21</v>
      </c>
      <c r="J94" s="10">
        <f>$J$74*R30-J30</f>
        <v>0</v>
      </c>
      <c r="K94" s="10">
        <f t="shared" ref="K94:M97" si="14">$J$74*S30-K30</f>
        <v>0</v>
      </c>
      <c r="L94" s="10">
        <f t="shared" si="14"/>
        <v>0</v>
      </c>
      <c r="M94" s="10">
        <f t="shared" si="14"/>
        <v>0</v>
      </c>
    </row>
    <row r="95" spans="9:14" x14ac:dyDescent="0.35">
      <c r="I95" s="4" t="s">
        <v>22</v>
      </c>
      <c r="J95" s="10">
        <f t="shared" ref="J95:J97" si="15">$J$74*R31-J31</f>
        <v>0</v>
      </c>
      <c r="K95" s="10">
        <f t="shared" si="14"/>
        <v>0</v>
      </c>
      <c r="L95" s="10">
        <f t="shared" si="14"/>
        <v>0</v>
      </c>
      <c r="M95" s="10">
        <f t="shared" si="14"/>
        <v>0</v>
      </c>
    </row>
    <row r="96" spans="9:14" x14ac:dyDescent="0.35">
      <c r="I96" s="4" t="s">
        <v>23</v>
      </c>
      <c r="J96" s="10">
        <f t="shared" si="15"/>
        <v>0</v>
      </c>
      <c r="K96" s="10">
        <f t="shared" si="14"/>
        <v>0</v>
      </c>
      <c r="L96" s="10">
        <f t="shared" si="14"/>
        <v>0</v>
      </c>
      <c r="M96" s="10">
        <f t="shared" si="14"/>
        <v>18000</v>
      </c>
    </row>
    <row r="97" spans="9:13" x14ac:dyDescent="0.35">
      <c r="I97" s="4" t="s">
        <v>24</v>
      </c>
      <c r="J97" s="10">
        <f t="shared" si="15"/>
        <v>0</v>
      </c>
      <c r="K97" s="10">
        <f t="shared" si="14"/>
        <v>0</v>
      </c>
      <c r="L97" s="10">
        <f t="shared" si="14"/>
        <v>0</v>
      </c>
      <c r="M97" s="10">
        <f t="shared" si="14"/>
        <v>0</v>
      </c>
    </row>
  </sheetData>
  <mergeCells count="20">
    <mergeCell ref="B16:F16"/>
    <mergeCell ref="I3:M3"/>
    <mergeCell ref="I4:M4"/>
    <mergeCell ref="I5:M5"/>
    <mergeCell ref="B6:F6"/>
    <mergeCell ref="I6:M6"/>
    <mergeCell ref="I7:M7"/>
    <mergeCell ref="I8:M8"/>
    <mergeCell ref="I9:M9"/>
    <mergeCell ref="I10:M10"/>
    <mergeCell ref="B11:F11"/>
    <mergeCell ref="I11:M11"/>
    <mergeCell ref="B54:E54"/>
    <mergeCell ref="B22:F22"/>
    <mergeCell ref="B28:F28"/>
    <mergeCell ref="B34:F34"/>
    <mergeCell ref="B41:C41"/>
    <mergeCell ref="D41:E41"/>
    <mergeCell ref="B47:C47"/>
    <mergeCell ref="D47:E4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</vt:lpstr>
      <vt:lpstr>SKU info</vt:lpstr>
      <vt:lpstr>Model 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 Krishnamurthy</dc:creator>
  <cp:keywords/>
  <dc:description/>
  <cp:lastModifiedBy>Balaraman Rajan</cp:lastModifiedBy>
  <cp:revision/>
  <dcterms:created xsi:type="dcterms:W3CDTF">2020-10-21T03:51:00Z</dcterms:created>
  <dcterms:modified xsi:type="dcterms:W3CDTF">2025-02-20T05:12:27Z</dcterms:modified>
  <cp:category/>
  <cp:contentStatus/>
</cp:coreProperties>
</file>